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Ex2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charts/chart2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mu.sharepoint.com/teams/Aparna/Shared Documents/General/"/>
    </mc:Choice>
  </mc:AlternateContent>
  <xr:revisionPtr revIDLastSave="125" documentId="8_{062DA14B-3690-4D54-8BBF-AE5FBC2A07D3}" xr6:coauthVersionLast="47" xr6:coauthVersionMax="47" xr10:uidLastSave="{63C27D9E-B8A3-473D-BA0F-4CBA350359C2}"/>
  <bookViews>
    <workbookView xWindow="-110" yWindow="-110" windowWidth="19420" windowHeight="11620" tabRatio="927" firstSheet="1" activeTab="1" xr2:uid="{70BD234B-DC13-4FDA-B240-04662BF0EC90}"/>
  </bookViews>
  <sheets>
    <sheet name="0. Background, Market Analysis" sheetId="8" r:id="rId1"/>
    <sheet name="0. Results Summary" sheetId="14" r:id="rId2"/>
    <sheet name="1. Pricing Model " sheetId="19" r:id="rId3"/>
    <sheet name="2. Class Run Optimiser" sheetId="12" r:id="rId4"/>
    <sheet name="3. Other analysis on profit los" sheetId="18" state="hidden" r:id="rId5"/>
    <sheet name="3. Customer_relations" sheetId="10" r:id="rId6"/>
    <sheet name="4. Business Expansion Analysis" sheetId="5" r:id="rId7"/>
    <sheet name="Ref - Class Runs 2021 2022" sheetId="11" r:id="rId8"/>
    <sheet name="Ref - Studio Capacity" sheetId="16" r:id="rId9"/>
    <sheet name="Reference - Class Prices" sheetId="2" r:id="rId10"/>
    <sheet name="Reference data - Social Media" sheetId="9" state="hidden" r:id="rId11"/>
  </sheets>
  <externalReferences>
    <externalReference r:id="rId12"/>
    <externalReference r:id="rId13"/>
  </externalReferences>
  <definedNames>
    <definedName name="_xlnm._FilterDatabase" localSheetId="7" hidden="1">'Ref - Class Runs 2021 2022'!$A$2:$I$20</definedName>
    <definedName name="_xlnm._FilterDatabase" localSheetId="8" hidden="1">'Ref - Studio Capacity'!$J$109:$L$206</definedName>
    <definedName name="_xlchart.v1.0" hidden="1">'4. Business Expansion Analysis'!$C$80:$C$87</definedName>
    <definedName name="_xlchart.v1.1" hidden="1">'4. Business Expansion Analysis'!$D$79</definedName>
    <definedName name="_xlchart.v1.10" hidden="1">'4. Business Expansion Analysis'!$D$79</definedName>
    <definedName name="_xlchart.v1.11" hidden="1">'4. Business Expansion Analysis'!$D$80:$D$92</definedName>
    <definedName name="_xlchart.v1.12" hidden="1">'4. Business Expansion Analysis'!$E$79</definedName>
    <definedName name="_xlchart.v1.13" hidden="1">'4. Business Expansion Analysis'!$E$80:$E$92</definedName>
    <definedName name="_xlchart.v1.14" hidden="1">'4. Business Expansion Analysis'!$F$79</definedName>
    <definedName name="_xlchart.v1.15" hidden="1">'4. Business Expansion Analysis'!$F$80:$F$92</definedName>
    <definedName name="_xlchart.v1.16" hidden="1">'4. Business Expansion Analysis'!$G$79</definedName>
    <definedName name="_xlchart.v1.17" hidden="1">'4. Business Expansion Analysis'!$G$80:$G$92</definedName>
    <definedName name="_xlchart.v1.2" hidden="1">'4. Business Expansion Analysis'!$D$80:$D$87</definedName>
    <definedName name="_xlchart.v1.3" hidden="1">'4. Business Expansion Analysis'!$E$79</definedName>
    <definedName name="_xlchart.v1.4" hidden="1">'4. Business Expansion Analysis'!$E$80:$E$87</definedName>
    <definedName name="_xlchart.v1.5" hidden="1">'4. Business Expansion Analysis'!$F$79</definedName>
    <definedName name="_xlchart.v1.6" hidden="1">'4. Business Expansion Analysis'!$F$80:$F$87</definedName>
    <definedName name="_xlchart.v1.7" hidden="1">'4. Business Expansion Analysis'!$G$79</definedName>
    <definedName name="_xlchart.v1.8" hidden="1">'4. Business Expansion Analysis'!$G$80:$G$87</definedName>
    <definedName name="_xlchart.v1.9" hidden="1">'4. Business Expansion Analysis'!$C$80:$C$92</definedName>
    <definedName name="solver_adj" localSheetId="2" hidden="1">'1. Pricing Model '!$C$57:$C$64</definedName>
    <definedName name="solver_adj" localSheetId="3" hidden="1">'2. Class Run Optimiser'!$G$11:$G$18</definedName>
    <definedName name="solver_cvg" localSheetId="2" hidden="1">0.0001</definedName>
    <definedName name="solver_cvg" localSheetId="3" hidden="1">0.0001</definedName>
    <definedName name="solver_drv" localSheetId="2" hidden="1">2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'1. Pricing Model '!$C$57:$C$64</definedName>
    <definedName name="solver_lhs1" localSheetId="3" hidden="1">'2. Class Run Optimiser'!$G$11:$G$18</definedName>
    <definedName name="solver_lhs2" localSheetId="2" hidden="1">'1. Pricing Model '!$C$57:$C$64</definedName>
    <definedName name="solver_lhs2" localSheetId="3" hidden="1">'2. Class Run Optimiser'!$G$11:$G$18</definedName>
    <definedName name="solver_lhs3" localSheetId="2" hidden="1">'1. Pricing Model '!$D$67:$D$74</definedName>
    <definedName name="solver_lhs3" localSheetId="3" hidden="1">'2. Class Run Optimiser'!$G$11:$G$18</definedName>
    <definedName name="solver_lhs4" localSheetId="3" hidden="1">'2. Class Run Optimiser'!$G$19</definedName>
    <definedName name="solver_lhs5" localSheetId="3" hidden="1">'2. Class Run Optimiser'!$G$19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3</definedName>
    <definedName name="solver_num" localSheetId="3" hidden="1">4</definedName>
    <definedName name="solver_nwt" localSheetId="2" hidden="1">1</definedName>
    <definedName name="solver_nwt" localSheetId="3" hidden="1">1</definedName>
    <definedName name="solver_opt" localSheetId="2" hidden="1">'1. Pricing Model '!$C$69</definedName>
    <definedName name="solver_opt" localSheetId="3" hidden="1">'2. Class Run Optimiser'!$K$16</definedName>
    <definedName name="solver_pre" localSheetId="2" hidden="1">0.000001</definedName>
    <definedName name="solver_pre" localSheetId="3" hidden="1">0.000001</definedName>
    <definedName name="solver_rbv" localSheetId="2" hidden="1">2</definedName>
    <definedName name="solver_rbv" localSheetId="3" hidden="1">1</definedName>
    <definedName name="solver_rel1" localSheetId="2" hidden="1">1</definedName>
    <definedName name="solver_rel1" localSheetId="3" hidden="1">1</definedName>
    <definedName name="solver_rel2" localSheetId="2" hidden="1">4</definedName>
    <definedName name="solver_rel2" localSheetId="3" hidden="1">4</definedName>
    <definedName name="solver_rel3" localSheetId="2" hidden="1">1</definedName>
    <definedName name="solver_rel3" localSheetId="3" hidden="1">3</definedName>
    <definedName name="solver_rel4" localSheetId="3" hidden="1">1</definedName>
    <definedName name="solver_rel5" localSheetId="3" hidden="1">1</definedName>
    <definedName name="solver_rhs1" localSheetId="2" hidden="1">'1. Pricing Model '!$F$57:$F$64</definedName>
    <definedName name="solver_rhs1" localSheetId="3" hidden="1">'2. Class Run Optimiser'!$H$11:$H$18</definedName>
    <definedName name="solver_rhs2" localSheetId="2" hidden="1">"integer"</definedName>
    <definedName name="solver_rhs2" localSheetId="3" hidden="1">"integer"</definedName>
    <definedName name="solver_rhs3" localSheetId="2" hidden="1">'1. Pricing Model '!$F$67:$F$74</definedName>
    <definedName name="solver_rhs3" localSheetId="3" hidden="1">'2. Class Run Optimiser'!$F$11:$F$18</definedName>
    <definedName name="solver_rhs4" localSheetId="3" hidden="1">'2. Class Run Optimiser'!$K$10</definedName>
    <definedName name="solver_rhs5" localSheetId="3" hidden="1">'2. Class Run Optimiser'!$K$10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1</definedName>
    <definedName name="solver_typ" localSheetId="3" hidden="1">1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</definedNames>
  <calcPr calcId="191028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5" l="1"/>
  <c r="D87" i="19"/>
  <c r="F87" i="19"/>
  <c r="J39" i="12"/>
  <c r="J40" i="12"/>
  <c r="J41" i="12"/>
  <c r="J42" i="12"/>
  <c r="J43" i="12"/>
  <c r="J44" i="12"/>
  <c r="J45" i="12"/>
  <c r="J38" i="12"/>
  <c r="C22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B22" i="10"/>
  <c r="C14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B14" i="10"/>
  <c r="C6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B6" i="10"/>
  <c r="AF31" i="14"/>
  <c r="AG31" i="14"/>
  <c r="AE31" i="14"/>
  <c r="AM3" i="14"/>
  <c r="AK3" i="14"/>
  <c r="C43" i="5"/>
  <c r="AE3" i="14"/>
  <c r="AD3" i="14"/>
  <c r="AC3" i="14"/>
  <c r="D35" i="10"/>
  <c r="C35" i="10"/>
  <c r="B35" i="10"/>
  <c r="G34" i="19"/>
  <c r="G86" i="19"/>
  <c r="G85" i="19"/>
  <c r="G84" i="19"/>
  <c r="G83" i="19"/>
  <c r="G82" i="19"/>
  <c r="G81" i="19"/>
  <c r="G80" i="19"/>
  <c r="G79" i="19"/>
  <c r="C67" i="19"/>
  <c r="H64" i="19"/>
  <c r="G64" i="19"/>
  <c r="H63" i="19"/>
  <c r="G63" i="19"/>
  <c r="H62" i="19"/>
  <c r="G62" i="19"/>
  <c r="H61" i="19"/>
  <c r="G61" i="19"/>
  <c r="H60" i="19"/>
  <c r="G60" i="19"/>
  <c r="H59" i="19"/>
  <c r="G59" i="19"/>
  <c r="H58" i="19"/>
  <c r="G58" i="19"/>
  <c r="H57" i="19"/>
  <c r="G57" i="19"/>
  <c r="G50" i="19"/>
  <c r="F50" i="19"/>
  <c r="D74" i="19" s="1"/>
  <c r="G46" i="19"/>
  <c r="F46" i="19"/>
  <c r="D73" i="19" s="1"/>
  <c r="G42" i="19"/>
  <c r="F42" i="19"/>
  <c r="G38" i="19"/>
  <c r="F38" i="19"/>
  <c r="D72" i="19" s="1"/>
  <c r="F34" i="19"/>
  <c r="G30" i="19"/>
  <c r="F30" i="19"/>
  <c r="G26" i="19"/>
  <c r="F26" i="19"/>
  <c r="D68" i="19" s="1"/>
  <c r="G22" i="19"/>
  <c r="F22" i="19"/>
  <c r="D16" i="19"/>
  <c r="D15" i="19"/>
  <c r="D14" i="19"/>
  <c r="D13" i="19"/>
  <c r="D12" i="19"/>
  <c r="I11" i="19"/>
  <c r="D11" i="19"/>
  <c r="D10" i="19"/>
  <c r="D9" i="19"/>
  <c r="AE5" i="10"/>
  <c r="AE7" i="10"/>
  <c r="AE6" i="10"/>
  <c r="AE8" i="10"/>
  <c r="AL3" i="14" l="1"/>
  <c r="D67" i="19"/>
  <c r="D69" i="19"/>
  <c r="D70" i="19"/>
  <c r="D71" i="19"/>
  <c r="C66" i="19" l="1" a="1"/>
  <c r="C66" i="19" s="1"/>
  <c r="AW15" i="14" l="1"/>
  <c r="AW16" i="14"/>
  <c r="AW17" i="14"/>
  <c r="AW18" i="14"/>
  <c r="AW19" i="14"/>
  <c r="AW20" i="14"/>
  <c r="AW21" i="14"/>
  <c r="AW14" i="14"/>
  <c r="B18" i="5"/>
  <c r="G12" i="18" l="1"/>
  <c r="J6" i="18"/>
  <c r="J8" i="18"/>
  <c r="R27" i="18"/>
  <c r="D48" i="12" a="1"/>
  <c r="D48" i="12" s="1"/>
  <c r="F48" i="12" a="1"/>
  <c r="F48" i="12" s="1"/>
  <c r="G19" i="12"/>
  <c r="B72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I50" i="5"/>
  <c r="J50" i="5" s="1"/>
  <c r="K50" i="5" s="1"/>
  <c r="L50" i="5" s="1"/>
  <c r="C50" i="5"/>
  <c r="D50" i="5" s="1"/>
  <c r="E50" i="5" s="1"/>
  <c r="F50" i="5" s="1"/>
  <c r="G50" i="5" s="1"/>
  <c r="I49" i="5"/>
  <c r="J49" i="5" s="1"/>
  <c r="K49" i="5" s="1"/>
  <c r="L49" i="5" s="1"/>
  <c r="C49" i="5"/>
  <c r="D49" i="5" s="1"/>
  <c r="E49" i="5" s="1"/>
  <c r="F49" i="5" s="1"/>
  <c r="G49" i="5" s="1"/>
  <c r="I48" i="5"/>
  <c r="J48" i="5" s="1"/>
  <c r="K48" i="5" s="1"/>
  <c r="L48" i="5" s="1"/>
  <c r="C48" i="5"/>
  <c r="D48" i="5" s="1"/>
  <c r="E48" i="5" s="1"/>
  <c r="F48" i="5" s="1"/>
  <c r="G48" i="5" s="1"/>
  <c r="I47" i="5"/>
  <c r="J47" i="5" s="1"/>
  <c r="K47" i="5" s="1"/>
  <c r="L47" i="5" s="1"/>
  <c r="C47" i="5"/>
  <c r="D47" i="5" s="1"/>
  <c r="E47" i="5" s="1"/>
  <c r="F47" i="5" s="1"/>
  <c r="G47" i="5" s="1"/>
  <c r="I46" i="5"/>
  <c r="J46" i="5" s="1"/>
  <c r="K46" i="5" s="1"/>
  <c r="L46" i="5" s="1"/>
  <c r="C46" i="5"/>
  <c r="D46" i="5" s="1"/>
  <c r="E46" i="5" s="1"/>
  <c r="F46" i="5" s="1"/>
  <c r="G46" i="5" s="1"/>
  <c r="I45" i="5"/>
  <c r="J45" i="5" s="1"/>
  <c r="K45" i="5" s="1"/>
  <c r="L45" i="5" s="1"/>
  <c r="C45" i="5"/>
  <c r="D45" i="5" s="1"/>
  <c r="E45" i="5" s="1"/>
  <c r="F45" i="5" s="1"/>
  <c r="G45" i="5" s="1"/>
  <c r="I44" i="5"/>
  <c r="C44" i="5"/>
  <c r="D44" i="5" s="1"/>
  <c r="E44" i="5" s="1"/>
  <c r="F44" i="5" s="1"/>
  <c r="G44" i="5" s="1"/>
  <c r="I43" i="5"/>
  <c r="J43" i="5" s="1"/>
  <c r="D43" i="5"/>
  <c r="E43" i="5" s="1"/>
  <c r="F43" i="5" s="1"/>
  <c r="D35" i="5"/>
  <c r="E35" i="5" s="1"/>
  <c r="F35" i="5" s="1"/>
  <c r="G35" i="5" s="1"/>
  <c r="D34" i="5"/>
  <c r="E34" i="5" s="1"/>
  <c r="F34" i="5" s="1"/>
  <c r="G34" i="5" s="1"/>
  <c r="D33" i="5"/>
  <c r="E33" i="5" s="1"/>
  <c r="F33" i="5" s="1"/>
  <c r="G33" i="5" s="1"/>
  <c r="D30" i="5"/>
  <c r="E30" i="5" s="1"/>
  <c r="F30" i="5" s="1"/>
  <c r="G30" i="5" s="1"/>
  <c r="D28" i="5"/>
  <c r="E28" i="5" s="1"/>
  <c r="F28" i="5" s="1"/>
  <c r="G28" i="5" s="1"/>
  <c r="C27" i="5"/>
  <c r="D17" i="14" a="1"/>
  <c r="D17" i="14" s="1"/>
  <c r="C17" i="14" a="1"/>
  <c r="C17" i="14" s="1"/>
  <c r="F12" i="14"/>
  <c r="D24" i="14" s="1"/>
  <c r="E12" i="14"/>
  <c r="L29" i="8"/>
  <c r="L28" i="8"/>
  <c r="L27" i="8"/>
  <c r="L26" i="8"/>
  <c r="L25" i="8"/>
  <c r="L24" i="8"/>
  <c r="L23" i="8"/>
  <c r="L22" i="8"/>
  <c r="H47" i="8"/>
  <c r="I47" i="8" s="1"/>
  <c r="T28" i="14"/>
  <c r="G45" i="12"/>
  <c r="G44" i="12"/>
  <c r="G43" i="12"/>
  <c r="G42" i="12"/>
  <c r="G41" i="12"/>
  <c r="G40" i="12"/>
  <c r="G39" i="12"/>
  <c r="G38" i="12"/>
  <c r="F49" i="12" s="1"/>
  <c r="U13" i="14"/>
  <c r="U14" i="14" s="1"/>
  <c r="K105" i="16"/>
  <c r="K103" i="16"/>
  <c r="K102" i="16"/>
  <c r="K101" i="16"/>
  <c r="K100" i="16"/>
  <c r="K99" i="16"/>
  <c r="I176" i="16"/>
  <c r="I175" i="16"/>
  <c r="I174" i="16"/>
  <c r="I173" i="16"/>
  <c r="I172" i="16"/>
  <c r="I171" i="16"/>
  <c r="I170" i="16"/>
  <c r="I169" i="16"/>
  <c r="I168" i="16"/>
  <c r="I167" i="16"/>
  <c r="I166" i="16"/>
  <c r="I60" i="16"/>
  <c r="I59" i="16"/>
  <c r="I58" i="16"/>
  <c r="I57" i="16"/>
  <c r="I165" i="16"/>
  <c r="I164" i="16"/>
  <c r="I163" i="16"/>
  <c r="I162" i="16"/>
  <c r="I161" i="16"/>
  <c r="I160" i="16"/>
  <c r="I159" i="16"/>
  <c r="I158" i="16"/>
  <c r="I157" i="16"/>
  <c r="I156" i="16"/>
  <c r="I155" i="16"/>
  <c r="I154" i="16"/>
  <c r="I153" i="16"/>
  <c r="I152" i="16"/>
  <c r="I56" i="16"/>
  <c r="I55" i="16"/>
  <c r="I54" i="16"/>
  <c r="I53" i="16"/>
  <c r="I52" i="16"/>
  <c r="I51" i="16"/>
  <c r="I151" i="16"/>
  <c r="I150" i="16"/>
  <c r="I149" i="16"/>
  <c r="I148" i="16"/>
  <c r="I147" i="16"/>
  <c r="I146" i="16"/>
  <c r="I145" i="16"/>
  <c r="I144" i="16"/>
  <c r="I143" i="16"/>
  <c r="I142" i="16"/>
  <c r="I141" i="16"/>
  <c r="I140" i="16"/>
  <c r="I139" i="16"/>
  <c r="I138" i="16"/>
  <c r="I137" i="16"/>
  <c r="I136" i="16"/>
  <c r="I135" i="16"/>
  <c r="I134" i="16"/>
  <c r="I133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132" i="16"/>
  <c r="I131" i="16"/>
  <c r="I130" i="16"/>
  <c r="I129" i="16"/>
  <c r="I128" i="16"/>
  <c r="I127" i="16"/>
  <c r="I126" i="16"/>
  <c r="I125" i="16"/>
  <c r="I124" i="16"/>
  <c r="I123" i="16"/>
  <c r="I122" i="16"/>
  <c r="I121" i="16"/>
  <c r="I120" i="16"/>
  <c r="I119" i="16"/>
  <c r="I36" i="16"/>
  <c r="I35" i="16"/>
  <c r="I34" i="16"/>
  <c r="I33" i="16"/>
  <c r="I32" i="16"/>
  <c r="I31" i="16"/>
  <c r="I30" i="16"/>
  <c r="I29" i="16"/>
  <c r="I28" i="16"/>
  <c r="I27" i="16"/>
  <c r="I118" i="16"/>
  <c r="I26" i="16"/>
  <c r="I117" i="16"/>
  <c r="I116" i="16"/>
  <c r="I115" i="16"/>
  <c r="I25" i="16"/>
  <c r="I24" i="16"/>
  <c r="I23" i="16"/>
  <c r="I22" i="16"/>
  <c r="I21" i="16"/>
  <c r="I114" i="16"/>
  <c r="I113" i="16"/>
  <c r="I112" i="16"/>
  <c r="I111" i="16"/>
  <c r="I110" i="16"/>
  <c r="I109" i="16"/>
  <c r="I108" i="16"/>
  <c r="I107" i="16"/>
  <c r="I106" i="16"/>
  <c r="I105" i="16"/>
  <c r="I104" i="16"/>
  <c r="I103" i="16"/>
  <c r="I102" i="16"/>
  <c r="I101" i="16"/>
  <c r="I100" i="16"/>
  <c r="I99" i="16"/>
  <c r="I20" i="16"/>
  <c r="I19" i="16"/>
  <c r="I18" i="16"/>
  <c r="I17" i="16"/>
  <c r="I16" i="16"/>
  <c r="I15" i="16"/>
  <c r="I14" i="16"/>
  <c r="I13" i="16"/>
  <c r="I12" i="16"/>
  <c r="I11" i="16"/>
  <c r="I10" i="16"/>
  <c r="I9" i="16"/>
  <c r="I8" i="16"/>
  <c r="I7" i="16"/>
  <c r="I6" i="16"/>
  <c r="I5" i="16"/>
  <c r="I4" i="16"/>
  <c r="I3" i="16"/>
  <c r="N25" i="14"/>
  <c r="N26" i="14"/>
  <c r="N27" i="14"/>
  <c r="N28" i="14"/>
  <c r="N29" i="14"/>
  <c r="N30" i="14"/>
  <c r="N31" i="14"/>
  <c r="N24" i="14"/>
  <c r="AB43" i="14"/>
  <c r="AB42" i="14"/>
  <c r="AB41" i="14"/>
  <c r="AB40" i="14"/>
  <c r="AB39" i="14"/>
  <c r="AB38" i="14"/>
  <c r="AB37" i="14"/>
  <c r="AB36" i="14"/>
  <c r="Z44" i="14"/>
  <c r="Y44" i="14"/>
  <c r="X44" i="14"/>
  <c r="W44" i="14"/>
  <c r="V44" i="14"/>
  <c r="U44" i="14"/>
  <c r="T44" i="14"/>
  <c r="S44" i="14"/>
  <c r="J24" i="8"/>
  <c r="I24" i="8"/>
  <c r="F14" i="19" s="1"/>
  <c r="K57" i="11"/>
  <c r="I56" i="11"/>
  <c r="C12" i="14"/>
  <c r="D12" i="14"/>
  <c r="C24" i="14" s="1"/>
  <c r="I42" i="8"/>
  <c r="I45" i="8" s="1"/>
  <c r="K14" i="12" s="1"/>
  <c r="J44" i="8"/>
  <c r="J25" i="8"/>
  <c r="I25" i="8"/>
  <c r="F15" i="19" s="1"/>
  <c r="K205" i="11"/>
  <c r="K204" i="11"/>
  <c r="K203" i="11"/>
  <c r="K25" i="8" s="1"/>
  <c r="K177" i="11"/>
  <c r="K176" i="11"/>
  <c r="K175" i="11"/>
  <c r="E11" i="12"/>
  <c r="E12" i="12"/>
  <c r="E13" i="12"/>
  <c r="E14" i="12"/>
  <c r="E15" i="12"/>
  <c r="E16" i="12"/>
  <c r="E17" i="12"/>
  <c r="E18" i="12"/>
  <c r="J43" i="8"/>
  <c r="K152" i="11"/>
  <c r="J40" i="8"/>
  <c r="J41" i="8"/>
  <c r="J39" i="8"/>
  <c r="K12" i="11"/>
  <c r="K11" i="11"/>
  <c r="K160" i="11"/>
  <c r="K137" i="11"/>
  <c r="K128" i="11"/>
  <c r="K111" i="11"/>
  <c r="K96" i="11"/>
  <c r="K76" i="11"/>
  <c r="K65" i="11"/>
  <c r="K44" i="11"/>
  <c r="K29" i="11"/>
  <c r="K23" i="12"/>
  <c r="K24" i="12"/>
  <c r="K25" i="12"/>
  <c r="K26" i="12"/>
  <c r="K27" i="12"/>
  <c r="K28" i="12"/>
  <c r="K29" i="12"/>
  <c r="K30" i="12"/>
  <c r="I31" i="12"/>
  <c r="H18" i="12" s="1"/>
  <c r="H31" i="12"/>
  <c r="H17" i="12" s="1"/>
  <c r="G31" i="12"/>
  <c r="H16" i="12" s="1"/>
  <c r="F31" i="12"/>
  <c r="H15" i="12" s="1"/>
  <c r="E31" i="12"/>
  <c r="H14" i="12" s="1"/>
  <c r="D31" i="12"/>
  <c r="H13" i="12" s="1"/>
  <c r="C31" i="12"/>
  <c r="H12" i="12" s="1"/>
  <c r="B31" i="12"/>
  <c r="H11" i="12" s="1"/>
  <c r="I165" i="11"/>
  <c r="I164" i="11"/>
  <c r="I163" i="11"/>
  <c r="I162" i="11"/>
  <c r="I161" i="11"/>
  <c r="I160" i="11"/>
  <c r="I159" i="11"/>
  <c r="I158" i="11"/>
  <c r="I157" i="11"/>
  <c r="I156" i="11"/>
  <c r="I155" i="11"/>
  <c r="I153" i="11"/>
  <c r="I152" i="11"/>
  <c r="I151" i="11"/>
  <c r="I150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0" i="11"/>
  <c r="I129" i="11"/>
  <c r="I128" i="11"/>
  <c r="I127" i="11"/>
  <c r="I126" i="11"/>
  <c r="I125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69" i="11"/>
  <c r="I68" i="11"/>
  <c r="I67" i="11"/>
  <c r="I66" i="11"/>
  <c r="I65" i="11"/>
  <c r="I64" i="11"/>
  <c r="I63" i="11"/>
  <c r="I62" i="11"/>
  <c r="I61" i="11"/>
  <c r="I60" i="11"/>
  <c r="I54" i="11"/>
  <c r="K54" i="11" s="1"/>
  <c r="K24" i="8" s="1"/>
  <c r="I49" i="11"/>
  <c r="I48" i="11"/>
  <c r="I47" i="11"/>
  <c r="I45" i="11"/>
  <c r="I44" i="11"/>
  <c r="I43" i="11"/>
  <c r="I42" i="11"/>
  <c r="I41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J79" i="5"/>
  <c r="J78" i="5"/>
  <c r="J80" i="5"/>
  <c r="J77" i="5"/>
  <c r="F50" i="12" l="1"/>
  <c r="J45" i="8"/>
  <c r="D50" i="12"/>
  <c r="I51" i="5"/>
  <c r="P14" i="18"/>
  <c r="L22" i="18"/>
  <c r="R8" i="18"/>
  <c r="L16" i="18"/>
  <c r="P23" i="18"/>
  <c r="M10" i="18"/>
  <c r="P17" i="18"/>
  <c r="Q11" i="18"/>
  <c r="L25" i="18"/>
  <c r="L19" i="18"/>
  <c r="P26" i="18"/>
  <c r="L13" i="18"/>
  <c r="P20" i="18"/>
  <c r="Q8" i="18"/>
  <c r="L10" i="18"/>
  <c r="P11" i="18"/>
  <c r="S12" i="18"/>
  <c r="K13" i="18"/>
  <c r="O14" i="18"/>
  <c r="S15" i="18"/>
  <c r="K16" i="18"/>
  <c r="O17" i="18"/>
  <c r="S18" i="18"/>
  <c r="K19" i="18"/>
  <c r="O20" i="18"/>
  <c r="S21" i="18"/>
  <c r="K22" i="18"/>
  <c r="O23" i="18"/>
  <c r="S24" i="18"/>
  <c r="K25" i="18"/>
  <c r="O26" i="18"/>
  <c r="S27" i="18"/>
  <c r="S8" i="18"/>
  <c r="J9" i="18"/>
  <c r="N10" i="18"/>
  <c r="R11" i="18"/>
  <c r="M13" i="18"/>
  <c r="Q14" i="18"/>
  <c r="M16" i="18"/>
  <c r="Q17" i="18"/>
  <c r="M19" i="18"/>
  <c r="Q20" i="18"/>
  <c r="M22" i="18"/>
  <c r="Q23" i="18"/>
  <c r="M25" i="18"/>
  <c r="Q26" i="18"/>
  <c r="K9" i="18"/>
  <c r="O10" i="18"/>
  <c r="S11" i="18"/>
  <c r="J12" i="18"/>
  <c r="N13" i="18"/>
  <c r="R14" i="18"/>
  <c r="J15" i="18"/>
  <c r="N16" i="18"/>
  <c r="R17" i="18"/>
  <c r="J18" i="18"/>
  <c r="N19" i="18"/>
  <c r="R20" i="18"/>
  <c r="J21" i="18"/>
  <c r="N22" i="18"/>
  <c r="R23" i="18"/>
  <c r="J24" i="18"/>
  <c r="N25" i="18"/>
  <c r="R26" i="18"/>
  <c r="J27" i="18"/>
  <c r="L9" i="18"/>
  <c r="P10" i="18"/>
  <c r="K12" i="18"/>
  <c r="O13" i="18"/>
  <c r="S14" i="18"/>
  <c r="K15" i="18"/>
  <c r="O16" i="18"/>
  <c r="S17" i="18"/>
  <c r="K18" i="18"/>
  <c r="O19" i="18"/>
  <c r="S20" i="18"/>
  <c r="K21" i="18"/>
  <c r="O22" i="18"/>
  <c r="S23" i="18"/>
  <c r="K24" i="18"/>
  <c r="O25" i="18"/>
  <c r="S26" i="18"/>
  <c r="K27" i="18"/>
  <c r="M9" i="18"/>
  <c r="Q10" i="18"/>
  <c r="L12" i="18"/>
  <c r="P13" i="18"/>
  <c r="L15" i="18"/>
  <c r="P16" i="18"/>
  <c r="L18" i="18"/>
  <c r="P19" i="18"/>
  <c r="L21" i="18"/>
  <c r="P22" i="18"/>
  <c r="L24" i="18"/>
  <c r="P25" i="18"/>
  <c r="L27" i="18"/>
  <c r="K8" i="18"/>
  <c r="N9" i="18"/>
  <c r="R10" i="18"/>
  <c r="J11" i="18"/>
  <c r="M12" i="18"/>
  <c r="Q13" i="18"/>
  <c r="M15" i="18"/>
  <c r="Q16" i="18"/>
  <c r="M18" i="18"/>
  <c r="Q19" i="18"/>
  <c r="M21" i="18"/>
  <c r="Q22" i="18"/>
  <c r="M24" i="18"/>
  <c r="Q25" i="18"/>
  <c r="M27" i="18"/>
  <c r="L8" i="18"/>
  <c r="O9" i="18"/>
  <c r="S10" i="18"/>
  <c r="K11" i="18"/>
  <c r="N12" i="18"/>
  <c r="R13" i="18"/>
  <c r="J14" i="18"/>
  <c r="N15" i="18"/>
  <c r="R16" i="18"/>
  <c r="J17" i="18"/>
  <c r="N18" i="18"/>
  <c r="R19" i="18"/>
  <c r="J20" i="18"/>
  <c r="N21" i="18"/>
  <c r="R22" i="18"/>
  <c r="J23" i="18"/>
  <c r="N24" i="18"/>
  <c r="R25" i="18"/>
  <c r="J26" i="18"/>
  <c r="N27" i="18"/>
  <c r="M8" i="18"/>
  <c r="P9" i="18"/>
  <c r="L11" i="18"/>
  <c r="O12" i="18"/>
  <c r="S13" i="18"/>
  <c r="K14" i="18"/>
  <c r="O15" i="18"/>
  <c r="S16" i="18"/>
  <c r="K17" i="18"/>
  <c r="O18" i="18"/>
  <c r="S19" i="18"/>
  <c r="K20" i="18"/>
  <c r="O21" i="18"/>
  <c r="S22" i="18"/>
  <c r="K23" i="18"/>
  <c r="O24" i="18"/>
  <c r="S25" i="18"/>
  <c r="K26" i="18"/>
  <c r="O27" i="18"/>
  <c r="N8" i="18"/>
  <c r="Q9" i="18"/>
  <c r="M11" i="18"/>
  <c r="P12" i="18"/>
  <c r="L14" i="18"/>
  <c r="P15" i="18"/>
  <c r="L17" i="18"/>
  <c r="P18" i="18"/>
  <c r="L20" i="18"/>
  <c r="P21" i="18"/>
  <c r="L23" i="18"/>
  <c r="P24" i="18"/>
  <c r="L26" i="18"/>
  <c r="P27" i="18"/>
  <c r="O8" i="18"/>
  <c r="R9" i="18"/>
  <c r="J10" i="18"/>
  <c r="N11" i="18"/>
  <c r="Q12" i="18"/>
  <c r="M14" i="18"/>
  <c r="Q15" i="18"/>
  <c r="M17" i="18"/>
  <c r="Q18" i="18"/>
  <c r="M20" i="18"/>
  <c r="Q21" i="18"/>
  <c r="M23" i="18"/>
  <c r="Q24" i="18"/>
  <c r="M26" i="18"/>
  <c r="Q27" i="18"/>
  <c r="P8" i="18"/>
  <c r="S9" i="18"/>
  <c r="K10" i="18"/>
  <c r="O11" i="18"/>
  <c r="R12" i="18"/>
  <c r="J13" i="18"/>
  <c r="N14" i="18"/>
  <c r="R15" i="18"/>
  <c r="J16" i="18"/>
  <c r="N17" i="18"/>
  <c r="R18" i="18"/>
  <c r="J19" i="18"/>
  <c r="N20" i="18"/>
  <c r="R21" i="18"/>
  <c r="J22" i="18"/>
  <c r="N23" i="18"/>
  <c r="R24" i="18"/>
  <c r="J25" i="18"/>
  <c r="N26" i="18"/>
  <c r="D25" i="14"/>
  <c r="C25" i="14"/>
  <c r="D51" i="5"/>
  <c r="C32" i="5" s="1"/>
  <c r="D32" i="5" s="1"/>
  <c r="G43" i="5"/>
  <c r="G51" i="5" s="1"/>
  <c r="G32" i="5" s="1"/>
  <c r="F51" i="5"/>
  <c r="F32" i="5" s="1"/>
  <c r="D27" i="5"/>
  <c r="B23" i="5" s="1"/>
  <c r="K43" i="5"/>
  <c r="J44" i="5"/>
  <c r="E51" i="5"/>
  <c r="E32" i="5" s="1"/>
  <c r="W14" i="14"/>
  <c r="X14" i="14" s="1"/>
  <c r="D49" i="12"/>
  <c r="D51" i="12" s="1"/>
  <c r="D54" i="12" s="1"/>
  <c r="K13" i="12"/>
  <c r="F51" i="12"/>
  <c r="D55" i="12" s="1"/>
  <c r="AB44" i="14"/>
  <c r="K10" i="11"/>
  <c r="K22" i="8" s="1"/>
  <c r="K30" i="11"/>
  <c r="J22" i="8" s="1"/>
  <c r="K28" i="11"/>
  <c r="I22" i="8" s="1"/>
  <c r="F12" i="19" s="1"/>
  <c r="K45" i="11"/>
  <c r="K43" i="11"/>
  <c r="K23" i="8" s="1"/>
  <c r="K50" i="11"/>
  <c r="J23" i="8" s="1"/>
  <c r="K48" i="11"/>
  <c r="I23" i="8" s="1"/>
  <c r="F13" i="19" s="1"/>
  <c r="K66" i="11"/>
  <c r="K64" i="11"/>
  <c r="K26" i="8" s="1"/>
  <c r="K77" i="11"/>
  <c r="J26" i="8" s="1"/>
  <c r="K75" i="11"/>
  <c r="I26" i="8" s="1"/>
  <c r="F9" i="19" s="1"/>
  <c r="I10" i="19" s="1" a="1"/>
  <c r="I10" i="19" s="1"/>
  <c r="K97" i="11"/>
  <c r="K95" i="11"/>
  <c r="K27" i="8" s="1"/>
  <c r="K112" i="11"/>
  <c r="J27" i="8" s="1"/>
  <c r="K110" i="11"/>
  <c r="I27" i="8" s="1"/>
  <c r="F10" i="19" s="1"/>
  <c r="K129" i="11"/>
  <c r="K127" i="11"/>
  <c r="K28" i="8" s="1"/>
  <c r="K138" i="11"/>
  <c r="J28" i="8" s="1"/>
  <c r="K136" i="11"/>
  <c r="I28" i="8" s="1"/>
  <c r="F11" i="19" s="1"/>
  <c r="K153" i="11"/>
  <c r="K151" i="11"/>
  <c r="K29" i="8" s="1"/>
  <c r="K161" i="11"/>
  <c r="J29" i="8" s="1"/>
  <c r="K159" i="11"/>
  <c r="I29" i="8" s="1"/>
  <c r="F16" i="19" s="1"/>
  <c r="K31" i="12"/>
  <c r="D37" i="5" l="1"/>
  <c r="D38" i="5" s="1"/>
  <c r="C37" i="5"/>
  <c r="C36" i="5"/>
  <c r="I12" i="19"/>
  <c r="I14" i="19" s="1"/>
  <c r="J79" i="19" s="1"/>
  <c r="C68" i="19"/>
  <c r="C69" i="19" s="1"/>
  <c r="K44" i="5"/>
  <c r="L44" i="5" s="1"/>
  <c r="J51" i="5"/>
  <c r="E37" i="5" s="1"/>
  <c r="E38" i="5" s="1"/>
  <c r="E73" i="5" s="1"/>
  <c r="R6" i="18"/>
  <c r="L6" i="18"/>
  <c r="Q6" i="18"/>
  <c r="O6" i="18"/>
  <c r="N6" i="18"/>
  <c r="E55" i="12"/>
  <c r="E27" i="5"/>
  <c r="D36" i="5"/>
  <c r="L43" i="5"/>
  <c r="J31" i="8"/>
  <c r="I31" i="8"/>
  <c r="D73" i="5" l="1"/>
  <c r="C38" i="5"/>
  <c r="D39" i="5"/>
  <c r="D74" i="5" s="1"/>
  <c r="L51" i="5"/>
  <c r="G37" i="5" s="1"/>
  <c r="G38" i="5" s="1"/>
  <c r="G73" i="5" s="1"/>
  <c r="B90" i="19"/>
  <c r="J80" i="19"/>
  <c r="J81" i="19" s="1"/>
  <c r="K51" i="5"/>
  <c r="F37" i="5" s="1"/>
  <c r="F38" i="5" s="1"/>
  <c r="F73" i="5" s="1"/>
  <c r="D77" i="5"/>
  <c r="F27" i="5"/>
  <c r="E36" i="5"/>
  <c r="E39" i="5" s="1"/>
  <c r="E74" i="5" s="1"/>
  <c r="C25" i="10"/>
  <c r="C26" i="10" s="1"/>
  <c r="D25" i="10"/>
  <c r="D26" i="10" s="1"/>
  <c r="E24" i="10"/>
  <c r="F25" i="10"/>
  <c r="F26" i="10" s="1"/>
  <c r="G25" i="10"/>
  <c r="G26" i="10" s="1"/>
  <c r="H25" i="10"/>
  <c r="H26" i="10" s="1"/>
  <c r="I25" i="10"/>
  <c r="I26" i="10" s="1"/>
  <c r="J24" i="10"/>
  <c r="K24" i="10"/>
  <c r="L24" i="10"/>
  <c r="M25" i="10"/>
  <c r="M26" i="10" s="1"/>
  <c r="N24" i="10"/>
  <c r="O24" i="10"/>
  <c r="P24" i="10"/>
  <c r="Q25" i="10"/>
  <c r="Q26" i="10" s="1"/>
  <c r="R25" i="10"/>
  <c r="R26" i="10" s="1"/>
  <c r="S25" i="10"/>
  <c r="S26" i="10" s="1"/>
  <c r="T24" i="10"/>
  <c r="U25" i="10"/>
  <c r="U26" i="10" s="1"/>
  <c r="V24" i="10"/>
  <c r="W24" i="10"/>
  <c r="X25" i="10"/>
  <c r="X26" i="10" s="1"/>
  <c r="Y25" i="10"/>
  <c r="Y26" i="10" s="1"/>
  <c r="B24" i="10"/>
  <c r="C16" i="10"/>
  <c r="D16" i="10"/>
  <c r="E17" i="10"/>
  <c r="E18" i="10" s="1"/>
  <c r="F16" i="10"/>
  <c r="G17" i="10"/>
  <c r="G18" i="10" s="1"/>
  <c r="H17" i="10"/>
  <c r="H18" i="10" s="1"/>
  <c r="I17" i="10"/>
  <c r="I18" i="10" s="1"/>
  <c r="J16" i="10"/>
  <c r="K17" i="10"/>
  <c r="K18" i="10" s="1"/>
  <c r="L17" i="10"/>
  <c r="L18" i="10" s="1"/>
  <c r="M17" i="10"/>
  <c r="M18" i="10" s="1"/>
  <c r="N16" i="10"/>
  <c r="O16" i="10"/>
  <c r="P16" i="10"/>
  <c r="Q16" i="10"/>
  <c r="R16" i="10"/>
  <c r="S17" i="10"/>
  <c r="S18" i="10" s="1"/>
  <c r="T17" i="10"/>
  <c r="T18" i="10" s="1"/>
  <c r="U17" i="10"/>
  <c r="U18" i="10" s="1"/>
  <c r="V16" i="10"/>
  <c r="W16" i="10"/>
  <c r="X16" i="10"/>
  <c r="Y17" i="10"/>
  <c r="Y18" i="10" s="1"/>
  <c r="B17" i="10"/>
  <c r="B18" i="10" s="1"/>
  <c r="C9" i="10"/>
  <c r="C10" i="10" s="1"/>
  <c r="D9" i="10"/>
  <c r="D10" i="10" s="1"/>
  <c r="E9" i="10"/>
  <c r="E10" i="10" s="1"/>
  <c r="F9" i="10"/>
  <c r="F10" i="10" s="1"/>
  <c r="G9" i="10"/>
  <c r="G10" i="10" s="1"/>
  <c r="H9" i="10"/>
  <c r="H10" i="10" s="1"/>
  <c r="I9" i="10"/>
  <c r="I10" i="10" s="1"/>
  <c r="J9" i="10"/>
  <c r="J10" i="10" s="1"/>
  <c r="K9" i="10"/>
  <c r="K10" i="10" s="1"/>
  <c r="L9" i="10"/>
  <c r="L10" i="10" s="1"/>
  <c r="M9" i="10"/>
  <c r="M10" i="10" s="1"/>
  <c r="N9" i="10"/>
  <c r="N10" i="10" s="1"/>
  <c r="O9" i="10"/>
  <c r="O10" i="10" s="1"/>
  <c r="P9" i="10"/>
  <c r="P10" i="10" s="1"/>
  <c r="Q9" i="10"/>
  <c r="Q10" i="10" s="1"/>
  <c r="R9" i="10"/>
  <c r="R10" i="10" s="1"/>
  <c r="S8" i="10"/>
  <c r="T9" i="10"/>
  <c r="T10" i="10" s="1"/>
  <c r="U9" i="10"/>
  <c r="U10" i="10" s="1"/>
  <c r="V9" i="10"/>
  <c r="V10" i="10" s="1"/>
  <c r="W9" i="10"/>
  <c r="W10" i="10" s="1"/>
  <c r="X9" i="10"/>
  <c r="X10" i="10" s="1"/>
  <c r="Y9" i="10"/>
  <c r="Y10" i="10" s="1"/>
  <c r="Y25" i="9"/>
  <c r="Y24" i="9"/>
  <c r="Y22" i="9"/>
  <c r="X17" i="9"/>
  <c r="Z17" i="9" s="1"/>
  <c r="AA17" i="9" s="1"/>
  <c r="X3" i="9"/>
  <c r="Y3" i="9" s="1"/>
  <c r="X26" i="9"/>
  <c r="Z26" i="9" s="1"/>
  <c r="AA26" i="9" s="1"/>
  <c r="X25" i="9"/>
  <c r="Z25" i="9" s="1"/>
  <c r="AA25" i="9" s="1"/>
  <c r="X24" i="9"/>
  <c r="X23" i="9"/>
  <c r="Z23" i="9" s="1"/>
  <c r="AA23" i="9" s="1"/>
  <c r="X22" i="9"/>
  <c r="Z22" i="9" s="1"/>
  <c r="AA22" i="9" s="1"/>
  <c r="X21" i="9"/>
  <c r="Y21" i="9" s="1"/>
  <c r="X20" i="9"/>
  <c r="Z20" i="9" s="1"/>
  <c r="AA20" i="9" s="1"/>
  <c r="X19" i="9"/>
  <c r="Z19" i="9" s="1"/>
  <c r="AA19" i="9" s="1"/>
  <c r="Z18" i="9"/>
  <c r="AA18" i="9" s="1"/>
  <c r="X18" i="9"/>
  <c r="Y18" i="9" s="1"/>
  <c r="X16" i="9"/>
  <c r="Z16" i="9" s="1"/>
  <c r="AA16" i="9" s="1"/>
  <c r="Z15" i="9"/>
  <c r="AA15" i="9" s="1"/>
  <c r="X15" i="9"/>
  <c r="Y15" i="9" s="1"/>
  <c r="X14" i="9"/>
  <c r="Z14" i="9" s="1"/>
  <c r="AA14" i="9" s="1"/>
  <c r="X13" i="9"/>
  <c r="Z13" i="9" s="1"/>
  <c r="AA13" i="9" s="1"/>
  <c r="Z12" i="9"/>
  <c r="AA12" i="9" s="1"/>
  <c r="X12" i="9"/>
  <c r="Y12" i="9" s="1"/>
  <c r="X11" i="9"/>
  <c r="Z11" i="9" s="1"/>
  <c r="AA11" i="9" s="1"/>
  <c r="X10" i="9"/>
  <c r="Z10" i="9" s="1"/>
  <c r="AA10" i="9" s="1"/>
  <c r="Z9" i="9"/>
  <c r="AA9" i="9" s="1"/>
  <c r="X9" i="9"/>
  <c r="Y9" i="9" s="1"/>
  <c r="X8" i="9"/>
  <c r="Z8" i="9" s="1"/>
  <c r="AA8" i="9" s="1"/>
  <c r="X7" i="9"/>
  <c r="Z7" i="9" s="1"/>
  <c r="AA7" i="9" s="1"/>
  <c r="X6" i="9"/>
  <c r="Y6" i="9" s="1"/>
  <c r="X5" i="9"/>
  <c r="Z5" i="9" s="1"/>
  <c r="AA5" i="9" s="1"/>
  <c r="X4" i="9"/>
  <c r="Z4" i="9" s="1"/>
  <c r="AA4" i="9" s="1"/>
  <c r="Z3" i="9"/>
  <c r="AA3" i="9" s="1"/>
  <c r="R14" i="9"/>
  <c r="E4" i="9"/>
  <c r="E5" i="9"/>
  <c r="E6" i="9"/>
  <c r="F6" i="9" s="1"/>
  <c r="E7" i="9"/>
  <c r="F7" i="9" s="1"/>
  <c r="E8" i="9"/>
  <c r="F8" i="9" s="1"/>
  <c r="E9" i="9"/>
  <c r="F9" i="9" s="1"/>
  <c r="E10" i="9"/>
  <c r="F10" i="9" s="1"/>
  <c r="E11" i="9"/>
  <c r="F11" i="9" s="1"/>
  <c r="E12" i="9"/>
  <c r="F12" i="9" s="1"/>
  <c r="E13" i="9"/>
  <c r="F13" i="9" s="1"/>
  <c r="E14" i="9"/>
  <c r="E15" i="9"/>
  <c r="E16" i="9"/>
  <c r="F16" i="9" s="1"/>
  <c r="E17" i="9"/>
  <c r="F17" i="9" s="1"/>
  <c r="E18" i="9"/>
  <c r="F18" i="9" s="1"/>
  <c r="E19" i="9"/>
  <c r="F19" i="9" s="1"/>
  <c r="E20" i="9"/>
  <c r="F20" i="9" s="1"/>
  <c r="E21" i="9"/>
  <c r="F21" i="9" s="1"/>
  <c r="E22" i="9"/>
  <c r="F22" i="9" s="1"/>
  <c r="E23" i="9"/>
  <c r="E24" i="9"/>
  <c r="G24" i="9" s="1"/>
  <c r="H24" i="9" s="1"/>
  <c r="E25" i="9"/>
  <c r="F25" i="9" s="1"/>
  <c r="E26" i="9"/>
  <c r="F26" i="9" s="1"/>
  <c r="E3" i="9"/>
  <c r="F3" i="9" s="1"/>
  <c r="Q14" i="9"/>
  <c r="P14" i="9"/>
  <c r="P26" i="9"/>
  <c r="P3" i="9"/>
  <c r="O13" i="9"/>
  <c r="Q13" i="9" s="1"/>
  <c r="R13" i="9" s="1"/>
  <c r="O14" i="9"/>
  <c r="O3" i="9"/>
  <c r="Q3" i="9" s="1"/>
  <c r="R3" i="9" s="1"/>
  <c r="O26" i="9"/>
  <c r="Q26" i="9" s="1"/>
  <c r="R26" i="9" s="1"/>
  <c r="G23" i="9"/>
  <c r="H23" i="9" s="1"/>
  <c r="F15" i="9"/>
  <c r="F5" i="9"/>
  <c r="F4" i="9"/>
  <c r="B20" i="5" l="1"/>
  <c r="J25" i="10"/>
  <c r="J26" i="10" s="1"/>
  <c r="E77" i="5"/>
  <c r="G27" i="5"/>
  <c r="G36" i="5" s="1"/>
  <c r="G39" i="5" s="1"/>
  <c r="G74" i="5" s="1"/>
  <c r="F36" i="5"/>
  <c r="F39" i="5" s="1"/>
  <c r="F74" i="5" s="1"/>
  <c r="B9" i="10"/>
  <c r="B10" i="10" s="1"/>
  <c r="B8" i="10"/>
  <c r="X17" i="10"/>
  <c r="X18" i="10" s="1"/>
  <c r="W17" i="10"/>
  <c r="W18" i="10" s="1"/>
  <c r="V17" i="10"/>
  <c r="V18" i="10" s="1"/>
  <c r="Q17" i="10"/>
  <c r="Q18" i="10" s="1"/>
  <c r="I24" i="10"/>
  <c r="J17" i="10"/>
  <c r="J18" i="10" s="1"/>
  <c r="L25" i="10"/>
  <c r="L26" i="10" s="1"/>
  <c r="K25" i="10"/>
  <c r="K26" i="10" s="1"/>
  <c r="O8" i="10"/>
  <c r="U24" i="10"/>
  <c r="D8" i="10"/>
  <c r="C8" i="10"/>
  <c r="F17" i="10"/>
  <c r="F18" i="10" s="1"/>
  <c r="Y8" i="10"/>
  <c r="M8" i="10"/>
  <c r="W25" i="10"/>
  <c r="W26" i="10" s="1"/>
  <c r="X8" i="10"/>
  <c r="L8" i="10"/>
  <c r="V25" i="10"/>
  <c r="V26" i="10" s="1"/>
  <c r="U8" i="10"/>
  <c r="I8" i="10"/>
  <c r="L16" i="10"/>
  <c r="T8" i="10"/>
  <c r="H8" i="10"/>
  <c r="R17" i="10"/>
  <c r="R18" i="10" s="1"/>
  <c r="K16" i="10"/>
  <c r="X24" i="10"/>
  <c r="W8" i="10"/>
  <c r="K8" i="10"/>
  <c r="J8" i="10"/>
  <c r="S9" i="10"/>
  <c r="S10" i="10" s="1"/>
  <c r="R8" i="10"/>
  <c r="F8" i="10"/>
  <c r="E16" i="10"/>
  <c r="V8" i="10"/>
  <c r="G8" i="10"/>
  <c r="Q8" i="10"/>
  <c r="E8" i="10"/>
  <c r="B25" i="10"/>
  <c r="B26" i="10" s="1"/>
  <c r="P8" i="10"/>
  <c r="N8" i="10"/>
  <c r="H24" i="10"/>
  <c r="S24" i="10"/>
  <c r="E25" i="10"/>
  <c r="E26" i="10" s="1"/>
  <c r="D24" i="10"/>
  <c r="P25" i="10"/>
  <c r="P26" i="10" s="1"/>
  <c r="C24" i="10"/>
  <c r="O25" i="10"/>
  <c r="O26" i="10" s="1"/>
  <c r="N25" i="10"/>
  <c r="N26" i="10" s="1"/>
  <c r="Y24" i="10"/>
  <c r="M24" i="10"/>
  <c r="T25" i="10"/>
  <c r="T26" i="10" s="1"/>
  <c r="G24" i="10"/>
  <c r="F24" i="10"/>
  <c r="Q24" i="10"/>
  <c r="R24" i="10"/>
  <c r="P17" i="10"/>
  <c r="P18" i="10" s="1"/>
  <c r="C17" i="10"/>
  <c r="C18" i="10" s="1"/>
  <c r="N17" i="10"/>
  <c r="N18" i="10" s="1"/>
  <c r="Y16" i="10"/>
  <c r="M16" i="10"/>
  <c r="I16" i="10"/>
  <c r="D17" i="10"/>
  <c r="D18" i="10" s="1"/>
  <c r="O17" i="10"/>
  <c r="O18" i="10" s="1"/>
  <c r="U16" i="10"/>
  <c r="T16" i="10"/>
  <c r="H16" i="10"/>
  <c r="S16" i="10"/>
  <c r="G16" i="10"/>
  <c r="B16" i="10"/>
  <c r="Z24" i="9"/>
  <c r="AA24" i="9" s="1"/>
  <c r="Z21" i="9"/>
  <c r="AA21" i="9" s="1"/>
  <c r="Z6" i="9"/>
  <c r="AA6" i="9" s="1"/>
  <c r="Y5" i="9"/>
  <c r="Y8" i="9"/>
  <c r="Y11" i="9"/>
  <c r="Y14" i="9"/>
  <c r="Y17" i="9"/>
  <c r="Y20" i="9"/>
  <c r="Y23" i="9"/>
  <c r="Y26" i="9"/>
  <c r="Y4" i="9"/>
  <c r="Y7" i="9"/>
  <c r="Y10" i="9"/>
  <c r="Y13" i="9"/>
  <c r="Y16" i="9"/>
  <c r="Y19" i="9"/>
  <c r="P13" i="9"/>
  <c r="O12" i="9"/>
  <c r="O10" i="9"/>
  <c r="O25" i="9"/>
  <c r="O24" i="9"/>
  <c r="O23" i="9"/>
  <c r="O11" i="9"/>
  <c r="O22" i="9"/>
  <c r="O21" i="9"/>
  <c r="O9" i="9"/>
  <c r="O20" i="9"/>
  <c r="O8" i="9"/>
  <c r="O19" i="9"/>
  <c r="O7" i="9"/>
  <c r="O18" i="9"/>
  <c r="O17" i="9"/>
  <c r="O5" i="9"/>
  <c r="O16" i="9"/>
  <c r="O4" i="9"/>
  <c r="O6" i="9"/>
  <c r="O15" i="9"/>
  <c r="G25" i="9"/>
  <c r="H25" i="9" s="1"/>
  <c r="G19" i="9"/>
  <c r="H19" i="9" s="1"/>
  <c r="F24" i="9"/>
  <c r="G22" i="9"/>
  <c r="H22" i="9" s="1"/>
  <c r="G20" i="9"/>
  <c r="H20" i="9" s="1"/>
  <c r="F23" i="9"/>
  <c r="G26" i="9"/>
  <c r="H26" i="9" s="1"/>
  <c r="G21" i="9"/>
  <c r="H21" i="9" s="1"/>
  <c r="G9" i="9"/>
  <c r="H9" i="9" s="1"/>
  <c r="G13" i="9"/>
  <c r="H13" i="9" s="1"/>
  <c r="G8" i="9"/>
  <c r="H8" i="9" s="1"/>
  <c r="G11" i="9"/>
  <c r="H11" i="9" s="1"/>
  <c r="G4" i="9"/>
  <c r="H4" i="9" s="1"/>
  <c r="G5" i="9"/>
  <c r="H5" i="9" s="1"/>
  <c r="G7" i="9"/>
  <c r="H7" i="9" s="1"/>
  <c r="G15" i="9"/>
  <c r="H15" i="9" s="1"/>
  <c r="G16" i="9"/>
  <c r="H16" i="9" s="1"/>
  <c r="G17" i="9"/>
  <c r="H17" i="9" s="1"/>
  <c r="G18" i="9"/>
  <c r="H18" i="9" s="1"/>
  <c r="G10" i="9"/>
  <c r="H10" i="9" s="1"/>
  <c r="G3" i="9"/>
  <c r="H3" i="9" s="1"/>
  <c r="G12" i="9"/>
  <c r="H12" i="9" s="1"/>
  <c r="G6" i="9"/>
  <c r="H6" i="9" s="1"/>
  <c r="G14" i="9"/>
  <c r="H14" i="9" s="1"/>
  <c r="B32" i="10" l="1"/>
  <c r="G77" i="5"/>
  <c r="F77" i="5"/>
  <c r="B21" i="5"/>
  <c r="C32" i="10"/>
  <c r="D32" i="10"/>
  <c r="K12" i="12" a="1"/>
  <c r="K12" i="12" s="1"/>
  <c r="K16" i="12" s="1"/>
  <c r="Q4" i="9"/>
  <c r="R4" i="9" s="1"/>
  <c r="P4" i="9"/>
  <c r="P23" i="9"/>
  <c r="Q23" i="9"/>
  <c r="R23" i="9" s="1"/>
  <c r="Q5" i="9"/>
  <c r="R5" i="9" s="1"/>
  <c r="P5" i="9"/>
  <c r="Q17" i="9"/>
  <c r="R17" i="9" s="1"/>
  <c r="P17" i="9"/>
  <c r="P10" i="9"/>
  <c r="Q10" i="9"/>
  <c r="R10" i="9" s="1"/>
  <c r="P7" i="9"/>
  <c r="Q7" i="9"/>
  <c r="R7" i="9" s="1"/>
  <c r="Q19" i="9"/>
  <c r="R19" i="9" s="1"/>
  <c r="P19" i="9"/>
  <c r="P8" i="9"/>
  <c r="Q8" i="9"/>
  <c r="R8" i="9" s="1"/>
  <c r="Q21" i="9"/>
  <c r="R21" i="9" s="1"/>
  <c r="P21" i="9"/>
  <c r="P16" i="9"/>
  <c r="Q16" i="9"/>
  <c r="R16" i="9" s="1"/>
  <c r="P24" i="9"/>
  <c r="Q24" i="9"/>
  <c r="R24" i="9" s="1"/>
  <c r="P25" i="9"/>
  <c r="Q25" i="9"/>
  <c r="R25" i="9" s="1"/>
  <c r="P12" i="9"/>
  <c r="Q12" i="9"/>
  <c r="R12" i="9" s="1"/>
  <c r="Q20" i="9"/>
  <c r="R20" i="9" s="1"/>
  <c r="P20" i="9"/>
  <c r="P9" i="9"/>
  <c r="Q9" i="9"/>
  <c r="R9" i="9" s="1"/>
  <c r="Q6" i="9"/>
  <c r="R6" i="9" s="1"/>
  <c r="P6" i="9"/>
  <c r="P22" i="9"/>
  <c r="Q22" i="9"/>
  <c r="R22" i="9" s="1"/>
  <c r="P18" i="9"/>
  <c r="Q18" i="9"/>
  <c r="R18" i="9" s="1"/>
  <c r="P11" i="9"/>
  <c r="Q11" i="9"/>
  <c r="R11" i="9" s="1"/>
  <c r="Q15" i="9"/>
  <c r="R15" i="9" s="1"/>
  <c r="P15" i="9"/>
  <c r="D36" i="10" l="1"/>
  <c r="D37" i="10" s="1"/>
  <c r="D38" i="10" s="1"/>
  <c r="AI3" i="14"/>
  <c r="AG28" i="14" s="1"/>
  <c r="AG32" i="14" s="1"/>
  <c r="AG33" i="14" s="1"/>
  <c r="AG34" i="14" s="1"/>
  <c r="C36" i="10"/>
  <c r="C37" i="10" s="1"/>
  <c r="C38" i="10" s="1"/>
  <c r="AH3" i="14"/>
  <c r="AF28" i="14" s="1"/>
  <c r="AF32" i="14" s="1"/>
  <c r="AF33" i="14" s="1"/>
  <c r="AF34" i="14" s="1"/>
  <c r="B36" i="10"/>
  <c r="B37" i="10" s="1"/>
  <c r="B38" i="10" s="1"/>
  <c r="AG3" i="14"/>
  <c r="AE28" i="14" s="1"/>
  <c r="AE32" i="14" s="1"/>
  <c r="AE33" i="14" s="1"/>
  <c r="AE34" i="14" s="1"/>
  <c r="B22" i="5"/>
  <c r="D97" i="5" l="1"/>
  <c r="C97" i="5" s="1"/>
  <c r="A10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tc={06F42EC7-7F95-4362-8DC3-8329637E0696}</author>
  </authors>
  <commentList>
    <comment ref="D17" authorId="0" shapeId="0" xr:uid="{06F42EC7-7F95-4362-8DC3-8329637E0696}">
      <text>
        <t>[Threaded comment]
Your version of Excel allows you to read this threaded comment; however, any edits to it will get removed if the file is opened in a newer version of Excel. Learn more: https://go.microsoft.com/fwlink/?linkid=870924
Comment:
    @Aparna Sudarshan PARAB  can help to compute this and profit?  from the marketing analysis?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tc={7C1FD9BE-C2FF-4292-97A4-9267BE0AB714}</author>
  </authors>
  <commentList>
    <comment ref="D8" authorId="0" shapeId="0" xr:uid="{7C1FD9BE-C2FF-4292-97A4-9267BE0AB714}">
      <text>
        <t>[Threaded comment]
Your version of Excel allows you to read this threaded comment; however, any edits to it will get removed if the file is opened in a newer version of Excel. Learn more: https://go.microsoft.com/fwlink/?linkid=870924
Comment:
    @Alicia LOH Nian En  is there a cost breakdown that we can play around with?
Reply:
    Rent 5500
Admin 200
Others 69
Reply:
    Instructor costs &gt; ($35/h if 2-9 headcount, $50/h if &gt;=10 headcount)
So this was calculated based on the avg headcount in year 2022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<sst xmlns="http://schemas.openxmlformats.org/spreadsheetml/2006/main" count="2367" uniqueCount="483">
  <si>
    <r>
      <t xml:space="preserve">The business of Pole Dance - </t>
    </r>
    <r>
      <rPr>
        <b/>
        <i/>
        <sz val="20"/>
        <color theme="1"/>
        <rFont val="Calibri"/>
        <family val="2"/>
        <scheme val="minor"/>
      </rPr>
      <t xml:space="preserve">strategies to increase profit, expand business </t>
    </r>
    <r>
      <rPr>
        <b/>
        <sz val="20"/>
        <color theme="1"/>
        <rFont val="Calibri"/>
        <family val="2"/>
        <scheme val="minor"/>
      </rPr>
      <t xml:space="preserve">
(4 models: 1. Pricing model, 2. Class Run Optimise, 3. Customer Relations, 4. Business Expansion Analysis)</t>
    </r>
  </si>
  <si>
    <t>1. Growing Market presents expansion/profit raising opportunity</t>
  </si>
  <si>
    <t>2. Studio Starfire Statistics</t>
  </si>
  <si>
    <t>Pole Dance Studio</t>
  </si>
  <si>
    <t>a. General</t>
  </si>
  <si>
    <t>Studio Name</t>
  </si>
  <si>
    <t>Year Established</t>
  </si>
  <si>
    <t>Studio space</t>
  </si>
  <si>
    <t>sq ft</t>
  </si>
  <si>
    <t>Groove Dance School</t>
  </si>
  <si>
    <t>Location</t>
  </si>
  <si>
    <t>Tanjong Pagar</t>
  </si>
  <si>
    <t>Bobbi's Pole Dance Studio</t>
  </si>
  <si>
    <t>Number of classes conducted a year</t>
  </si>
  <si>
    <t>Acropolates</t>
  </si>
  <si>
    <t>Number of instructors</t>
  </si>
  <si>
    <t>Dance Channel</t>
  </si>
  <si>
    <t>SLAP Dance Studio</t>
  </si>
  <si>
    <t>b. Student Demographics</t>
  </si>
  <si>
    <t>Studio Sands</t>
  </si>
  <si>
    <t>Milan Pole Dance Studio</t>
  </si>
  <si>
    <t>Current enrolment</t>
  </si>
  <si>
    <t>Pole Dance Academy</t>
  </si>
  <si>
    <t>Total Male Students</t>
  </si>
  <si>
    <t>The Brass Barre</t>
  </si>
  <si>
    <t>Total Female Students</t>
  </si>
  <si>
    <t>Eco de Pole</t>
  </si>
  <si>
    <t>PXD Pole Studio</t>
  </si>
  <si>
    <t>Breathe Dance Company</t>
  </si>
  <si>
    <t>Diva Pole Academy</t>
  </si>
  <si>
    <t>Studio Starfire</t>
  </si>
  <si>
    <t>c. Historical class run data (see reference sheet for details)</t>
  </si>
  <si>
    <t>Mauve Dance Studio</t>
  </si>
  <si>
    <t>MOVEMENT Pole &amp; Aerial</t>
  </si>
  <si>
    <t>Class Type</t>
  </si>
  <si>
    <t>Class Price (as of 2022)</t>
  </si>
  <si>
    <t>2022-Average Enrolment Rate</t>
  </si>
  <si>
    <t>2022 - Number of Classes</t>
  </si>
  <si>
    <t>2021-Average Enrolment Rate</t>
  </si>
  <si>
    <t>2021 Number of runs</t>
  </si>
  <si>
    <t>Euphoria Pole &amp; Aerial</t>
  </si>
  <si>
    <t>Choreography - Beginner</t>
  </si>
  <si>
    <t>Pole Dance Retailers</t>
  </si>
  <si>
    <t>Choreography - Intermediate</t>
  </si>
  <si>
    <t>Shop Name</t>
  </si>
  <si>
    <t>Established Year</t>
  </si>
  <si>
    <t>Choreography - Advanced</t>
  </si>
  <si>
    <t>Love to Be Me</t>
  </si>
  <si>
    <t>Choreography - Open</t>
  </si>
  <si>
    <t>Puss in Bootx</t>
  </si>
  <si>
    <t>Pole Tricks - Beginner</t>
  </si>
  <si>
    <t>UPClose</t>
  </si>
  <si>
    <t>Pole Tricks - Intermediate</t>
  </si>
  <si>
    <t>Pleaser Lovers</t>
  </si>
  <si>
    <t>Pole Tricks - Advanced</t>
  </si>
  <si>
    <t>Tough Cookie Apparel</t>
  </si>
  <si>
    <t>Conditioning for Pole</t>
  </si>
  <si>
    <t>Bptboppityboo</t>
  </si>
  <si>
    <t>Total Classes</t>
  </si>
  <si>
    <t>Aleta Active</t>
  </si>
  <si>
    <t>Overall Enrolment Rate</t>
  </si>
  <si>
    <t>AthenaSport</t>
  </si>
  <si>
    <t>Assa by Asawinee</t>
  </si>
  <si>
    <t>Diosa Armoire27</t>
  </si>
  <si>
    <t>Phoenix Collective</t>
  </si>
  <si>
    <t>Makyo Knits</t>
  </si>
  <si>
    <t>d. Running Costs</t>
  </si>
  <si>
    <t>Pole Shorts Atelier</t>
  </si>
  <si>
    <t>BBPole</t>
  </si>
  <si>
    <t>Fixed Costs</t>
  </si>
  <si>
    <t>Remarks</t>
  </si>
  <si>
    <t>Per Month</t>
  </si>
  <si>
    <t>Annual</t>
  </si>
  <si>
    <t>Sugarbae</t>
  </si>
  <si>
    <t>Rent</t>
  </si>
  <si>
    <t>Astra Fitwear</t>
  </si>
  <si>
    <t>Admin (eg. Pay customer service officers)</t>
  </si>
  <si>
    <t>Disassoci Active Wear</t>
  </si>
  <si>
    <t>Others (eg. Platform licensing fee, internet)</t>
  </si>
  <si>
    <t>Business renewal</t>
  </si>
  <si>
    <t>Utilities</t>
  </si>
  <si>
    <t>Marketing</t>
  </si>
  <si>
    <t>Variable (per class run)</t>
  </si>
  <si>
    <t>Instructor Cost</t>
  </si>
  <si>
    <t>Studio Starfire Business Summary for year 2022</t>
  </si>
  <si>
    <t>Profit Increasing Strategies: Part 1</t>
  </si>
  <si>
    <t>Profit Increasing Strategies: Part 2</t>
  </si>
  <si>
    <t>Customer Relations/Marketing Strategy</t>
  </si>
  <si>
    <t>Average Cost per Acquisition Across Various channels</t>
  </si>
  <si>
    <t>Average Converstion Rates</t>
  </si>
  <si>
    <t>Average Class Price</t>
  </si>
  <si>
    <t xml:space="preserve"> Business Expansion</t>
  </si>
  <si>
    <t>Follwer Base Instagram</t>
  </si>
  <si>
    <t>Follwer Base TikTok</t>
  </si>
  <si>
    <t>Follwer Base Email Marketing</t>
  </si>
  <si>
    <t xml:space="preserve"> Insta</t>
  </si>
  <si>
    <t xml:space="preserve"> Tiktok</t>
  </si>
  <si>
    <t>Email Marketing</t>
  </si>
  <si>
    <t>Shareholder's Investment</t>
  </si>
  <si>
    <t>2022-Average Enrolment Rate (average per class of 10 pax)</t>
  </si>
  <si>
    <t>2022 - Number of Classes Run</t>
  </si>
  <si>
    <t>1. Tier Class Prices to increase profit.  (Model in Worksheet '1. Pricing Model')</t>
  </si>
  <si>
    <t>2. Optimise class runs, to maximise studio capacity and number of instructors. (Model in worksheet '2. Class Run Optimiser')</t>
  </si>
  <si>
    <t>Waterloo Street</t>
  </si>
  <si>
    <t>326D King George</t>
  </si>
  <si>
    <t xml:space="preserve"> Bencoolen Street</t>
  </si>
  <si>
    <t>Kampong Bahru Rd</t>
  </si>
  <si>
    <t>Pearl's Hill</t>
  </si>
  <si>
    <t>31B Keong Saik Rd</t>
  </si>
  <si>
    <t xml:space="preserve"> Shenton Way</t>
  </si>
  <si>
    <t>11A Bukit Pasoh Rd</t>
  </si>
  <si>
    <t>Cecil St</t>
  </si>
  <si>
    <t>Robinson Road</t>
  </si>
  <si>
    <t>18 Cross St</t>
  </si>
  <si>
    <t>Orchard Rd</t>
  </si>
  <si>
    <t>Assumed Initial Investment</t>
  </si>
  <si>
    <t>Initial Fixed Cost (in year 1)</t>
  </si>
  <si>
    <t>Time</t>
  </si>
  <si>
    <t>Number of slots per day</t>
  </si>
  <si>
    <t>No of days</t>
  </si>
  <si>
    <t>Weekday evening</t>
  </si>
  <si>
    <t>Weekend morning</t>
  </si>
  <si>
    <t>Total/Average</t>
  </si>
  <si>
    <t>Weekend afternoon</t>
  </si>
  <si>
    <t>Lost opportunity in 2022 (ie. Studio space not used to teach classes)</t>
  </si>
  <si>
    <t>Profitability at different locations</t>
  </si>
  <si>
    <t>Studio Capacity in a term</t>
  </si>
  <si>
    <t>Locations</t>
  </si>
  <si>
    <t>Profit Year 1</t>
  </si>
  <si>
    <t xml:space="preserve">Profit Year 2 </t>
  </si>
  <si>
    <t>Profit Year 3</t>
  </si>
  <si>
    <t>Profit Year 4</t>
  </si>
  <si>
    <t>Profit at end of 4 years</t>
  </si>
  <si>
    <t xml:space="preserve">Studio Starfire Profit Statement </t>
  </si>
  <si>
    <t>Studio Capacity in a year</t>
  </si>
  <si>
    <t>=&gt;</t>
  </si>
  <si>
    <t>Description</t>
  </si>
  <si>
    <t>Year 2022</t>
  </si>
  <si>
    <t>Year 2021</t>
  </si>
  <si>
    <t>Revenue</t>
  </si>
  <si>
    <t>Fixed Cost</t>
  </si>
  <si>
    <t>Rent - $5500/mth</t>
  </si>
  <si>
    <t>Admin (eg. Pay customer service officers) - $1200/month</t>
  </si>
  <si>
    <t>S/N</t>
  </si>
  <si>
    <t>Class Types</t>
  </si>
  <si>
    <t>Jan 22 term runs</t>
  </si>
  <si>
    <t>Jan 22 term average enrolment rate</t>
  </si>
  <si>
    <t>Others (eg. Platform licensing fee, internet) - $100/month</t>
  </si>
  <si>
    <t>Jan 22 term revenue</t>
  </si>
  <si>
    <t>Business renewal - $25 per month</t>
  </si>
  <si>
    <t>Jan 22 term variable cost</t>
  </si>
  <si>
    <t>Jan 22 term fixed cost</t>
  </si>
  <si>
    <t>Price (as of 2022)</t>
  </si>
  <si>
    <t>Average Enrolment rate (in 2022)</t>
  </si>
  <si>
    <t>New Price</t>
  </si>
  <si>
    <t>New enrolment</t>
  </si>
  <si>
    <t>Price Changes</t>
  </si>
  <si>
    <t>Jan 22 term profit</t>
  </si>
  <si>
    <t>ROI Trend at different locations</t>
  </si>
  <si>
    <t>Variable Cost (instructor cost is $35/h)</t>
  </si>
  <si>
    <t>Investment guide</t>
  </si>
  <si>
    <t>Profit</t>
  </si>
  <si>
    <t xml:space="preserve">Enter the money you want to invest here </t>
  </si>
  <si>
    <t>Insta</t>
  </si>
  <si>
    <t>Tiktok</t>
  </si>
  <si>
    <t>Email</t>
  </si>
  <si>
    <t>CPA</t>
  </si>
  <si>
    <t>Enter Your Total Followers</t>
  </si>
  <si>
    <t>Percentage of Budget to be Allocated</t>
  </si>
  <si>
    <t>Allocation</t>
  </si>
  <si>
    <t>Number of SignUps Expected Based on CPA</t>
  </si>
  <si>
    <t>Expected Revenue</t>
  </si>
  <si>
    <t>Class offerings by instructors</t>
  </si>
  <si>
    <t>Expected ROI %</t>
  </si>
  <si>
    <t>Old Prices</t>
  </si>
  <si>
    <t>Tricks - Beginner</t>
  </si>
  <si>
    <t>Tricks - Intermediate</t>
  </si>
  <si>
    <t>Tricks - Advanced</t>
  </si>
  <si>
    <t>Total number of class types per instructor</t>
  </si>
  <si>
    <t>New Prices</t>
  </si>
  <si>
    <t>Alicia</t>
  </si>
  <si>
    <t>X</t>
  </si>
  <si>
    <t>&lt;=</t>
  </si>
  <si>
    <t>Potential Percentage increase</t>
  </si>
  <si>
    <t>Azila</t>
  </si>
  <si>
    <t>Christina</t>
  </si>
  <si>
    <t>Farrah</t>
  </si>
  <si>
    <t>Ileane</t>
  </si>
  <si>
    <t>Leron</t>
  </si>
  <si>
    <t>Meiyen</t>
  </si>
  <si>
    <t>Michelle</t>
  </si>
  <si>
    <t>Total</t>
  </si>
  <si>
    <t>Sensitivity analysis of Present Value against different rates of inflation</t>
  </si>
  <si>
    <t xml:space="preserve">- The optimal number of classes recommended by solver is as follows: </t>
  </si>
  <si>
    <t xml:space="preserve"> </t>
  </si>
  <si>
    <t xml:space="preserve">- Coupling with price adjustments (in price model) and optimisation of class runs, starfire can expect to see up to 32% increase in profit in a term. </t>
  </si>
  <si>
    <t>Recommended no of runs for 1 term</t>
  </si>
  <si>
    <t>Percentage change</t>
  </si>
  <si>
    <t>With new class runs and new price</t>
  </si>
  <si>
    <t>Pricing Model</t>
  </si>
  <si>
    <t>Assumptions</t>
  </si>
  <si>
    <t>1. Number of runs per year will be based on number of runs conducted in 2022.</t>
  </si>
  <si>
    <t xml:space="preserve">2. Based on data across 4 studios, prices are quite inelastic to demand. We assumed that the enrolment trendlines provided a proxy to expected demand for different prices. </t>
  </si>
  <si>
    <t>&lt;Input&gt; (Decisions and Parameters)</t>
  </si>
  <si>
    <t>Cost per run</t>
  </si>
  <si>
    <t>No of Runs a year (historical data in 2022)</t>
  </si>
  <si>
    <t>Enrolment Rate</t>
  </si>
  <si>
    <t>Current Revenue</t>
  </si>
  <si>
    <t>Total Variable Cost Cost</t>
  </si>
  <si>
    <t>Current Profit</t>
  </si>
  <si>
    <t>&lt;Model&gt;</t>
  </si>
  <si>
    <t xml:space="preserve">Table of class enrolement rate across different studios. </t>
  </si>
  <si>
    <t>Studio</t>
  </si>
  <si>
    <t>Price</t>
  </si>
  <si>
    <t>Enrolment</t>
  </si>
  <si>
    <t>Slope</t>
  </si>
  <si>
    <t>Intercept</t>
  </si>
  <si>
    <t>PXD Pole Dance Studio</t>
  </si>
  <si>
    <t>SOLVER</t>
  </si>
  <si>
    <t>CONSTRAINTS</t>
  </si>
  <si>
    <t>PARAMETERS</t>
  </si>
  <si>
    <t>INPUT</t>
  </si>
  <si>
    <t>Determine Price</t>
  </si>
  <si>
    <t>Price less than</t>
  </si>
  <si>
    <t>No of Runs a year (Based on 2022 numbers)</t>
  </si>
  <si>
    <t>Enrolment Less than</t>
  </si>
  <si>
    <t>Maximise Profit</t>
  </si>
  <si>
    <t>.</t>
  </si>
  <si>
    <t>&lt;Results&gt;</t>
  </si>
  <si>
    <t>Price (in 2022)</t>
  </si>
  <si>
    <t>Enrolment Rate (in 2022)</t>
  </si>
  <si>
    <t>Recommended Price</t>
  </si>
  <si>
    <t>Expected enrolment</t>
  </si>
  <si>
    <t>Delta</t>
  </si>
  <si>
    <t>Percentage increase</t>
  </si>
  <si>
    <t>&lt;Sensitivity Analysis&gt;</t>
  </si>
  <si>
    <t>Profit variation across different enolment rates for Pole Tricks Beginner</t>
  </si>
  <si>
    <t>Documentation</t>
  </si>
  <si>
    <t>F22:F25</t>
  </si>
  <si>
    <t>=SLOPE(E22:E25,D22:D25)</t>
  </si>
  <si>
    <t>G22:G25</t>
  </si>
  <si>
    <t>=INTERCEPT(E22:E25,D22:D25)</t>
  </si>
  <si>
    <t>D57</t>
  </si>
  <si>
    <t>=IF((C57*F22+G22)&gt;1,1,IF((C57*F22+G22)&lt;0,0,(C57*F22+G22)))</t>
  </si>
  <si>
    <t>I56</t>
  </si>
  <si>
    <t>=SUMPRODUCT(C57:C64,D57:D64*10,F57:F64)</t>
  </si>
  <si>
    <t>Cost</t>
  </si>
  <si>
    <t>I58</t>
  </si>
  <si>
    <t>=SUMPRODUCT(E57:E64,F57:F64)</t>
  </si>
  <si>
    <t>I60</t>
  </si>
  <si>
    <t>=I56-I58</t>
  </si>
  <si>
    <t>I57:I64</t>
  </si>
  <si>
    <t>Solver</t>
  </si>
  <si>
    <t>Objective cell</t>
  </si>
  <si>
    <t>To max</t>
  </si>
  <si>
    <t>Constraints</t>
  </si>
  <si>
    <t>C57:C64 = integers</t>
  </si>
  <si>
    <t>F57:F64 = I8</t>
  </si>
  <si>
    <t>Class Run Optimiser (per 8 week term)</t>
  </si>
  <si>
    <t xml:space="preserve">1. There is a maximum number of qualified instructor per class type. This constraints the number of classes that can be run a term. </t>
  </si>
  <si>
    <t xml:space="preserve">2. There will be enough demand to fill up the classes suggested by the model. The demand can be generated through other strategies like marketing and discounts. </t>
  </si>
  <si>
    <t>&lt;Input, Model, Output&gt; (Decisions and Parameters)</t>
  </si>
  <si>
    <t>Class Prices</t>
  </si>
  <si>
    <t>Enrolment rate</t>
  </si>
  <si>
    <t xml:space="preserve">Cost </t>
  </si>
  <si>
    <t>CONSTAINT: Minimum no of runs</t>
  </si>
  <si>
    <t>Optimal no of runs</t>
  </si>
  <si>
    <t>CONSTRAINT: Maximum number of instructors (select using table below)</t>
  </si>
  <si>
    <t>CONSTRAINT: Studio Capacity per term</t>
  </si>
  <si>
    <t>Revenue per term</t>
  </si>
  <si>
    <t>Total Variable Cost per term</t>
  </si>
  <si>
    <t>Total fixed Cost per term</t>
  </si>
  <si>
    <t>Profit (objective, set to max)</t>
  </si>
  <si>
    <t>Class offerings by instructors (NOTE: * TO SELECT CLASSES USING 'X' SUCH THAT NO INSTRUCTOR CAN TEACH MORE THAN 5 CLASSES)</t>
  </si>
  <si>
    <t>CHECKSUM (IF INSRUCTOR TEACHES MORE THAN 5 CLASSES, WILL BE HIGHLIGHTED IN RED)</t>
  </si>
  <si>
    <t>&lt;Results and Analysis&gt;</t>
  </si>
  <si>
    <t>Class Price</t>
  </si>
  <si>
    <t>Recommended New Price (ref pricing model)</t>
  </si>
  <si>
    <t>Expected enrolment (from pricing model)</t>
  </si>
  <si>
    <t>Changes in class runs</t>
  </si>
  <si>
    <t>New revenue with new class prices and enrolment</t>
  </si>
  <si>
    <t>New variable cost</t>
  </si>
  <si>
    <t>New term fixed cost</t>
  </si>
  <si>
    <t>Pole Practice usage</t>
  </si>
  <si>
    <t>Situation</t>
  </si>
  <si>
    <t>Pole usage over 30 weekdays (of 14 poles)</t>
  </si>
  <si>
    <t>RawCount</t>
  </si>
  <si>
    <t>SimulatedCount</t>
  </si>
  <si>
    <t>Min</t>
  </si>
  <si>
    <t>Max</t>
  </si>
  <si>
    <t>Average</t>
  </si>
  <si>
    <t>Sum</t>
  </si>
  <si>
    <t>poles used</t>
  </si>
  <si>
    <t>Pole usage</t>
  </si>
  <si>
    <t>If a party is thrown for 200 people, how many bowls</t>
  </si>
  <si>
    <t>of noodles should the host cater?</t>
  </si>
  <si>
    <t>Notes</t>
  </si>
  <si>
    <t>Each random value is obtained using</t>
  </si>
  <si>
    <t>=SMALL($B$8:$F$12,RANDBETWEEN(1,$J$6))</t>
  </si>
  <si>
    <t>where B8:F12 is the array of raw data and J6 is the</t>
  </si>
  <si>
    <t>number of raw data.</t>
  </si>
  <si>
    <t>This method does not require frequency tables</t>
  </si>
  <si>
    <t>to be first computed.</t>
  </si>
  <si>
    <t>Month/Year</t>
  </si>
  <si>
    <t>Instagram Marketing Data</t>
  </si>
  <si>
    <t>Marketing spend</t>
  </si>
  <si>
    <t>Metric</t>
  </si>
  <si>
    <t>Cell</t>
  </si>
  <si>
    <t>Formula</t>
  </si>
  <si>
    <t>Instagram following</t>
  </si>
  <si>
    <t>converstion%</t>
  </si>
  <si>
    <t>=B6:Y6</t>
  </si>
  <si>
    <t xml:space="preserve">CPA </t>
  </si>
  <si>
    <t>=B8:Y8</t>
  </si>
  <si>
    <t>No of customer Acquired Insta</t>
  </si>
  <si>
    <t xml:space="preserve">Average Sales </t>
  </si>
  <si>
    <t>=B9:Y9</t>
  </si>
  <si>
    <t>CPA Insta</t>
  </si>
  <si>
    <t>ROI Insta%</t>
  </si>
  <si>
    <t>=B10:Y10</t>
  </si>
  <si>
    <t>Average Sales Insta</t>
  </si>
  <si>
    <t>ROI Insta %</t>
  </si>
  <si>
    <t>Tiktok Marketing Data</t>
  </si>
  <si>
    <t>Tiktok following</t>
  </si>
  <si>
    <t>No of customer Acquired TikTok</t>
  </si>
  <si>
    <t>CPA Tiktok</t>
  </si>
  <si>
    <t>Average Sales Tiktok</t>
  </si>
  <si>
    <t>ROI Tiktok%</t>
  </si>
  <si>
    <t>Email Marketing Data</t>
  </si>
  <si>
    <t>`</t>
  </si>
  <si>
    <t>Email Subcribers</t>
  </si>
  <si>
    <t>No of customer Acquired Email</t>
  </si>
  <si>
    <t>CPA Email Marketing</t>
  </si>
  <si>
    <t>Average Sales Email</t>
  </si>
  <si>
    <t>ROI Email Marketing%</t>
  </si>
  <si>
    <t>Enter the Percentage of Budget to be Allocated</t>
  </si>
  <si>
    <t>Assumptions:</t>
  </si>
  <si>
    <t>1) Fixed cost and variable cost increase at an expected rate</t>
  </si>
  <si>
    <t>2) Assumed demand multipliers i.e location specific multiplier based on footfall at the specific location</t>
  </si>
  <si>
    <t xml:space="preserve">3) Assumed Cash investment of </t>
  </si>
  <si>
    <t xml:space="preserve">4) Assumed same number of classes run as per primary location in 2022. </t>
  </si>
  <si>
    <t>5) Assume variable costs will be covered by classes conducted from first year, and need not be covered by initial investment</t>
  </si>
  <si>
    <t>Assumed rates:</t>
  </si>
  <si>
    <t>1) Owners Salary increament rate:</t>
  </si>
  <si>
    <t>2) Admin &amp; Support Staff salary Increament rate:</t>
  </si>
  <si>
    <t>3) Cost Increament rate:</t>
  </si>
  <si>
    <t>4) Revenue increament rate:</t>
  </si>
  <si>
    <t>5) Demand multiplier as per location (varies with location):</t>
  </si>
  <si>
    <t>Input:</t>
  </si>
  <si>
    <t>Location:</t>
  </si>
  <si>
    <t>Sq foot area required:</t>
  </si>
  <si>
    <t>Monthly Rent:</t>
  </si>
  <si>
    <t>Rent as per location:</t>
  </si>
  <si>
    <t>Output:</t>
  </si>
  <si>
    <t>Total Revenue:</t>
  </si>
  <si>
    <t>Total Cost:</t>
  </si>
  <si>
    <t>Total Profit/Loss at end of 4 years:</t>
  </si>
  <si>
    <t>Total investment needed (sum of year 1 fixed cost):</t>
  </si>
  <si>
    <t>This cell will turn red if above initial investment budget of $150000</t>
  </si>
  <si>
    <t>Comments:</t>
  </si>
  <si>
    <t>Highlighted in red are one time investments</t>
  </si>
  <si>
    <t>Model:</t>
  </si>
  <si>
    <t>Type of cost</t>
  </si>
  <si>
    <t>Sub-type</t>
  </si>
  <si>
    <t>Monthly</t>
  </si>
  <si>
    <t>Net Income Year1</t>
  </si>
  <si>
    <t>Net Income Year2</t>
  </si>
  <si>
    <t>Net Income Year3</t>
  </si>
  <si>
    <t>Net Income Year4</t>
  </si>
  <si>
    <t>Fixed Cost:</t>
  </si>
  <si>
    <t>Renovation</t>
  </si>
  <si>
    <t>Marketing Cost</t>
  </si>
  <si>
    <t>Instruments</t>
  </si>
  <si>
    <t>Variable Cost:</t>
  </si>
  <si>
    <t>Monthly Cost(includes Salries of instructors)</t>
  </si>
  <si>
    <t>Owners Salary</t>
  </si>
  <si>
    <t>Admin&amp;Support Staff(salaries)</t>
  </si>
  <si>
    <t>Misc Cost:</t>
  </si>
  <si>
    <t>Others</t>
  </si>
  <si>
    <t>Revenue before considering demand factor:</t>
  </si>
  <si>
    <t>Revenue after considering demand factor:</t>
  </si>
  <si>
    <t>Total Profit/Loss:</t>
  </si>
  <si>
    <t>Cost Per Run:</t>
  </si>
  <si>
    <t>Number of runs</t>
  </si>
  <si>
    <t>Monthly Cost</t>
  </si>
  <si>
    <t>Cost(Year1)</t>
  </si>
  <si>
    <t>Cost(Year2)</t>
  </si>
  <si>
    <t>Cost(Year3)</t>
  </si>
  <si>
    <t>Cost(Year4)</t>
  </si>
  <si>
    <t>Revenue Year1</t>
  </si>
  <si>
    <t>Revenue Year2</t>
  </si>
  <si>
    <t>Revenue Year3</t>
  </si>
  <si>
    <t>Revenue Year4</t>
  </si>
  <si>
    <t xml:space="preserve">Lookup Table: </t>
  </si>
  <si>
    <t>Per square feet Cost</t>
  </si>
  <si>
    <t>Rewuired area(in sq feet)</t>
  </si>
  <si>
    <t>Monthly Rental</t>
  </si>
  <si>
    <t>Demand Multiplier</t>
  </si>
  <si>
    <t>Trade Off Analysis: Profit across different locations</t>
  </si>
  <si>
    <t>Year 1</t>
  </si>
  <si>
    <t>Year 2</t>
  </si>
  <si>
    <t>Year 3</t>
  </si>
  <si>
    <t>Year 4</t>
  </si>
  <si>
    <t>Profit/Loss</t>
  </si>
  <si>
    <t>ROI After Year1</t>
  </si>
  <si>
    <t>ROI After Year2</t>
  </si>
  <si>
    <t>ROI After Year3</t>
  </si>
  <si>
    <t>ROI After Year 4</t>
  </si>
  <si>
    <t>Documentation:</t>
  </si>
  <si>
    <t>D75</t>
  </si>
  <si>
    <t>E75</t>
  </si>
  <si>
    <t>F75</t>
  </si>
  <si>
    <t>G75</t>
  </si>
  <si>
    <t>PV</t>
  </si>
  <si>
    <t>C88</t>
  </si>
  <si>
    <t>=-PV(A88,B88,,D88)</t>
  </si>
  <si>
    <t>Data Table:</t>
  </si>
  <si>
    <t>Row Input Cell</t>
  </si>
  <si>
    <t>A88</t>
  </si>
  <si>
    <t>Column Input Cell</t>
  </si>
  <si>
    <t>D88</t>
  </si>
  <si>
    <t>Sensitivity Analysis (profits against inflation rate)</t>
  </si>
  <si>
    <t>Inflation Rate</t>
  </si>
  <si>
    <t>Nper</t>
  </si>
  <si>
    <t>pv</t>
  </si>
  <si>
    <t>fv</t>
  </si>
  <si>
    <t>Data Table to calculate PV at different rates:</t>
  </si>
  <si>
    <t>PV Value at standard 3%</t>
  </si>
  <si>
    <t>Year</t>
  </si>
  <si>
    <t>Class Start</t>
  </si>
  <si>
    <t>Class Days</t>
  </si>
  <si>
    <t>Time Category</t>
  </si>
  <si>
    <t>Fee</t>
  </si>
  <si>
    <t>Enrollment</t>
  </si>
  <si>
    <t>Class Max</t>
  </si>
  <si>
    <t>Enrollment Rate</t>
  </si>
  <si>
    <t>Enrollment metrics</t>
  </si>
  <si>
    <t>Yearly Metrics</t>
  </si>
  <si>
    <t>Friday</t>
  </si>
  <si>
    <t>Afternoon</t>
  </si>
  <si>
    <t>Saturday</t>
  </si>
  <si>
    <t>Sunday</t>
  </si>
  <si>
    <t xml:space="preserve">Mode of Enrollment </t>
  </si>
  <si>
    <t>Evening</t>
  </si>
  <si>
    <t>Number of Runs</t>
  </si>
  <si>
    <t>Tuesday</t>
  </si>
  <si>
    <t>Thursday</t>
  </si>
  <si>
    <t>Morning</t>
  </si>
  <si>
    <t>Monday</t>
  </si>
  <si>
    <t>Wednesday</t>
  </si>
  <si>
    <t>No of Jan term classes</t>
  </si>
  <si>
    <t>No of May term classes</t>
  </si>
  <si>
    <t>No of Jul term classes</t>
  </si>
  <si>
    <t>No of Aug term classes</t>
  </si>
  <si>
    <t>No of Oct  term classes</t>
  </si>
  <si>
    <t>Classes run in January 2022</t>
  </si>
  <si>
    <t xml:space="preserve">Monday </t>
  </si>
  <si>
    <t>Row Labels</t>
  </si>
  <si>
    <t>Count of Class Type</t>
  </si>
  <si>
    <t>Average of Enrollment Rate</t>
  </si>
  <si>
    <t>Grand Total</t>
  </si>
  <si>
    <t>Studio Starfire Class Rates vs Enrolment</t>
  </si>
  <si>
    <t>Price (use the optimal price from previous worksheet)</t>
  </si>
  <si>
    <t>Expected Enrolment</t>
  </si>
  <si>
    <t>This analysis will include the enrolment rates of 3 closest competitiors based on distance and similar business model</t>
  </si>
  <si>
    <t>Competitor Class Rates vs Enrolment</t>
  </si>
  <si>
    <t>Class Runs &amp; Enrolment Average</t>
  </si>
  <si>
    <t>*average enrolment for 1 term, aka 8 weeks</t>
  </si>
  <si>
    <t>Max possible slots</t>
  </si>
  <si>
    <t xml:space="preserve">Instagram </t>
  </si>
  <si>
    <t xml:space="preserve">Email Marketing </t>
  </si>
  <si>
    <t>Marketing spend On IG</t>
  </si>
  <si>
    <t>IG Following</t>
  </si>
  <si>
    <t>converstion %</t>
  </si>
  <si>
    <t>No of customer who signed up</t>
  </si>
  <si>
    <t>Cost  per acquisition</t>
  </si>
  <si>
    <t xml:space="preserve">average sales per campaign </t>
  </si>
  <si>
    <t>Return on investment %</t>
  </si>
  <si>
    <t>Marketing spend On Tiktok</t>
  </si>
  <si>
    <t>Tiktok Following</t>
  </si>
  <si>
    <t>email_spend</t>
  </si>
  <si>
    <t>email_subcribers</t>
  </si>
  <si>
    <t>email_conversion_rate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</si>
</sst>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_);[Red]\(&quot;$&quot;#,##0\)"/>
    <numFmt numFmtId="165" formatCode="&quot;$&quot;#,##0"/>
    <numFmt numFmtId="166" formatCode="&quot;$&quot;#,##0.00"/>
    <numFmt numFmtId="167" formatCode="0.0000"/>
    <numFmt numFmtId="168" formatCode="0.000"/>
    <numFmt numFmtId="169" formatCode=";;;&quot;© 2004 Leong Thin Yin. All rights reserved.&quot;"/>
    <numFmt numFmtId="170" formatCode="0.0"/>
    <numFmt numFmtId="171" formatCode="0.0%"/>
    <numFmt numFmtId="172" formatCode="&quot;$&quot;#,##0.0"/>
  </numFmts>
  <fonts count="7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  <font>
      <b/>
      <sz val="14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5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374151"/>
      <name val="Segoe UI"/>
      <family val="2"/>
    </font>
    <font>
      <sz val="11"/>
      <color theme="0"/>
      <name val="Calibri"/>
      <family val="2"/>
      <scheme val="minor"/>
    </font>
    <font>
      <sz val="7"/>
      <color rgb="FF000000"/>
      <name val="Courier New"/>
      <family val="3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8"/>
      <color indexed="10"/>
      <name val="Calibri"/>
      <family val="2"/>
      <scheme val="minor"/>
    </font>
    <font>
      <i/>
      <sz val="10"/>
      <color indexed="16"/>
      <name val="Calibri"/>
      <family val="2"/>
      <scheme val="minor"/>
    </font>
    <font>
      <sz val="10"/>
      <color indexed="63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indexed="55"/>
      <name val="Calibri"/>
      <family val="2"/>
      <scheme val="minor"/>
    </font>
    <font>
      <sz val="8"/>
      <color indexed="63"/>
      <name val="Calibri"/>
      <family val="2"/>
      <scheme val="minor"/>
    </font>
    <font>
      <sz val="10"/>
      <color rgb="FF008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1"/>
      <color rgb="FF444444"/>
      <name val="Calibri"/>
      <family val="2"/>
    </font>
    <font>
      <b/>
      <sz val="11"/>
      <color rgb="FF444444"/>
      <name val="Calibri"/>
      <family val="2"/>
    </font>
    <font>
      <sz val="14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4"/>
      <color rgb="FF0000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i/>
      <sz val="11"/>
      <color theme="0" tint="-4.9989318521683403E-2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i/>
      <sz val="14"/>
      <color theme="0"/>
      <name val="Calibri"/>
      <family val="2"/>
    </font>
    <font>
      <sz val="12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A5A5A5"/>
        <bgColor rgb="FF000000"/>
      </patternFill>
    </fill>
    <fill>
      <patternFill patternType="solid">
        <fgColor rgb="FFC6EFCE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DDDDDD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55"/>
      </left>
      <right/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7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>
      <alignment horizontal="center"/>
    </xf>
    <xf numFmtId="0" fontId="2" fillId="0" borderId="3" xfId="0" applyFont="1" applyBorder="1"/>
    <xf numFmtId="0" fontId="1" fillId="0" borderId="1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3" xfId="0" applyFont="1" applyBorder="1"/>
    <xf numFmtId="8" fontId="1" fillId="0" borderId="1" xfId="0" applyNumberFormat="1" applyFont="1" applyBorder="1"/>
    <xf numFmtId="8" fontId="1" fillId="0" borderId="4" xfId="0" applyNumberFormat="1" applyFont="1" applyBorder="1"/>
    <xf numFmtId="0" fontId="1" fillId="0" borderId="5" xfId="0" applyFont="1" applyBorder="1"/>
    <xf numFmtId="8" fontId="1" fillId="0" borderId="6" xfId="0" applyNumberFormat="1" applyFont="1" applyBorder="1"/>
    <xf numFmtId="8" fontId="1" fillId="0" borderId="7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9" fontId="1" fillId="0" borderId="1" xfId="0" applyNumberFormat="1" applyFont="1" applyBorder="1"/>
    <xf numFmtId="9" fontId="1" fillId="0" borderId="4" xfId="0" applyNumberFormat="1" applyFont="1" applyBorder="1"/>
    <xf numFmtId="0" fontId="1" fillId="0" borderId="6" xfId="0" applyFont="1" applyBorder="1"/>
    <xf numFmtId="9" fontId="1" fillId="0" borderId="6" xfId="0" applyNumberFormat="1" applyFont="1" applyBorder="1"/>
    <xf numFmtId="9" fontId="1" fillId="0" borderId="7" xfId="0" applyNumberFormat="1" applyFont="1" applyBorder="1"/>
    <xf numFmtId="0" fontId="1" fillId="0" borderId="8" xfId="0" applyFont="1" applyBorder="1"/>
    <xf numFmtId="0" fontId="1" fillId="0" borderId="9" xfId="0" applyFont="1" applyBorder="1"/>
    <xf numFmtId="8" fontId="1" fillId="0" borderId="12" xfId="0" applyNumberFormat="1" applyFont="1" applyBorder="1"/>
    <xf numFmtId="0" fontId="2" fillId="0" borderId="1" xfId="0" applyFont="1" applyBorder="1"/>
    <xf numFmtId="0" fontId="2" fillId="0" borderId="11" xfId="0" applyFont="1" applyBorder="1"/>
    <xf numFmtId="0" fontId="1" fillId="2" borderId="13" xfId="0" applyFont="1" applyFill="1" applyBorder="1"/>
    <xf numFmtId="0" fontId="1" fillId="0" borderId="12" xfId="0" applyFont="1" applyBorder="1"/>
    <xf numFmtId="0" fontId="1" fillId="3" borderId="13" xfId="0" applyFont="1" applyFill="1" applyBorder="1"/>
    <xf numFmtId="0" fontId="1" fillId="0" borderId="13" xfId="0" applyFont="1" applyBorder="1"/>
    <xf numFmtId="0" fontId="2" fillId="0" borderId="11" xfId="0" applyFont="1" applyBorder="1" applyAlignment="1">
      <alignment wrapText="1"/>
    </xf>
    <xf numFmtId="44" fontId="1" fillId="0" borderId="1" xfId="1" applyFont="1" applyBorder="1"/>
    <xf numFmtId="8" fontId="1" fillId="0" borderId="0" xfId="0" applyNumberFormat="1" applyFont="1"/>
    <xf numFmtId="44" fontId="1" fillId="0" borderId="13" xfId="1" applyFont="1" applyFill="1" applyBorder="1"/>
    <xf numFmtId="44" fontId="1" fillId="0" borderId="1" xfId="1" applyFont="1" applyFill="1" applyBorder="1"/>
    <xf numFmtId="9" fontId="1" fillId="0" borderId="10" xfId="0" applyNumberFormat="1" applyFont="1" applyBorder="1"/>
    <xf numFmtId="9" fontId="1" fillId="0" borderId="15" xfId="0" applyNumberFormat="1" applyFont="1" applyBorder="1"/>
    <xf numFmtId="9" fontId="1" fillId="0" borderId="16" xfId="0" applyNumberFormat="1" applyFont="1" applyBorder="1"/>
    <xf numFmtId="9" fontId="1" fillId="0" borderId="15" xfId="2" applyFont="1" applyFill="1" applyBorder="1"/>
    <xf numFmtId="9" fontId="1" fillId="0" borderId="16" xfId="2" applyFont="1" applyFill="1" applyBorder="1"/>
    <xf numFmtId="9" fontId="1" fillId="0" borderId="14" xfId="2" applyFont="1" applyBorder="1"/>
    <xf numFmtId="9" fontId="4" fillId="4" borderId="1" xfId="0" applyNumberFormat="1" applyFont="1" applyFill="1" applyBorder="1"/>
    <xf numFmtId="9" fontId="5" fillId="5" borderId="1" xfId="0" applyNumberFormat="1" applyFont="1" applyFill="1" applyBorder="1"/>
    <xf numFmtId="0" fontId="0" fillId="0" borderId="1" xfId="0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0" fillId="0" borderId="1" xfId="0" applyBorder="1"/>
    <xf numFmtId="0" fontId="1" fillId="0" borderId="1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14" fillId="9" borderId="0" xfId="0" applyFont="1" applyFill="1"/>
    <xf numFmtId="0" fontId="15" fillId="0" borderId="0" xfId="0" applyFont="1"/>
    <xf numFmtId="0" fontId="6" fillId="10" borderId="1" xfId="0" applyFont="1" applyFill="1" applyBorder="1"/>
    <xf numFmtId="0" fontId="6" fillId="0" borderId="0" xfId="0" applyFont="1"/>
    <xf numFmtId="9" fontId="0" fillId="0" borderId="0" xfId="2" applyFont="1" applyFill="1" applyBorder="1"/>
    <xf numFmtId="0" fontId="1" fillId="0" borderId="12" xfId="0" applyFont="1" applyBorder="1" applyAlignment="1">
      <alignment horizontal="center"/>
    </xf>
    <xf numFmtId="0" fontId="0" fillId="9" borderId="0" xfId="0" applyFill="1" applyAlignment="1">
      <alignment horizontal="center"/>
    </xf>
    <xf numFmtId="0" fontId="6" fillId="10" borderId="1" xfId="0" applyFont="1" applyFill="1" applyBorder="1" applyAlignment="1">
      <alignment horizontal="center"/>
    </xf>
    <xf numFmtId="0" fontId="6" fillId="11" borderId="1" xfId="0" applyFont="1" applyFill="1" applyBorder="1"/>
    <xf numFmtId="0" fontId="6" fillId="11" borderId="1" xfId="0" applyFont="1" applyFill="1" applyBorder="1" applyAlignment="1">
      <alignment horizontal="center"/>
    </xf>
    <xf numFmtId="0" fontId="0" fillId="7" borderId="1" xfId="0" applyFill="1" applyBorder="1"/>
    <xf numFmtId="44" fontId="0" fillId="0" borderId="1" xfId="1" applyFont="1" applyFill="1" applyBorder="1"/>
    <xf numFmtId="44" fontId="0" fillId="0" borderId="1" xfId="0" applyNumberFormat="1" applyBorder="1"/>
    <xf numFmtId="0" fontId="9" fillId="0" borderId="0" xfId="0" applyFont="1" applyAlignment="1">
      <alignment wrapText="1"/>
    </xf>
    <xf numFmtId="9" fontId="0" fillId="0" borderId="1" xfId="0" applyNumberFormat="1" applyBorder="1" applyAlignment="1">
      <alignment horizontal="center"/>
    </xf>
    <xf numFmtId="0" fontId="6" fillId="7" borderId="1" xfId="0" applyFont="1" applyFill="1" applyBorder="1"/>
    <xf numFmtId="44" fontId="6" fillId="0" borderId="1" xfId="1" applyFont="1" applyFill="1" applyBorder="1"/>
    <xf numFmtId="44" fontId="6" fillId="0" borderId="1" xfId="0" applyNumberFormat="1" applyFont="1" applyBorder="1"/>
    <xf numFmtId="9" fontId="0" fillId="0" borderId="1" xfId="2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0" xfId="0" quotePrefix="1"/>
    <xf numFmtId="0" fontId="17" fillId="0" borderId="0" xfId="0" applyFont="1"/>
    <xf numFmtId="0" fontId="6" fillId="10" borderId="1" xfId="0" applyFont="1" applyFill="1" applyBorder="1" applyAlignment="1">
      <alignment wrapText="1"/>
    </xf>
    <xf numFmtId="0" fontId="1" fillId="0" borderId="21" xfId="0" applyFont="1" applyBorder="1"/>
    <xf numFmtId="0" fontId="19" fillId="0" borderId="0" xfId="0" applyFont="1"/>
    <xf numFmtId="0" fontId="1" fillId="0" borderId="21" xfId="0" applyFont="1" applyBorder="1" applyAlignment="1">
      <alignment horizontal="center"/>
    </xf>
    <xf numFmtId="0" fontId="1" fillId="13" borderId="21" xfId="0" applyFont="1" applyFill="1" applyBorder="1"/>
    <xf numFmtId="0" fontId="1" fillId="0" borderId="23" xfId="0" applyFont="1" applyBorder="1"/>
    <xf numFmtId="0" fontId="1" fillId="0" borderId="23" xfId="0" applyFont="1" applyBorder="1" applyAlignment="1">
      <alignment horizontal="center"/>
    </xf>
    <xf numFmtId="0" fontId="2" fillId="7" borderId="1" xfId="0" applyFont="1" applyFill="1" applyBorder="1"/>
    <xf numFmtId="0" fontId="1" fillId="0" borderId="0" xfId="0" applyFont="1" applyAlignment="1">
      <alignment horizontal="center"/>
    </xf>
    <xf numFmtId="15" fontId="1" fillId="0" borderId="0" xfId="0" applyNumberFormat="1" applyFont="1" applyAlignment="1">
      <alignment horizontal="center"/>
    </xf>
    <xf numFmtId="8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" fontId="0" fillId="0" borderId="0" xfId="2" applyNumberFormat="1" applyFont="1" applyAlignment="1">
      <alignment horizontal="center"/>
    </xf>
    <xf numFmtId="10" fontId="0" fillId="0" borderId="0" xfId="0" applyNumberFormat="1"/>
    <xf numFmtId="0" fontId="21" fillId="0" borderId="0" xfId="0" applyFont="1" applyAlignment="1">
      <alignment vertical="center"/>
    </xf>
    <xf numFmtId="9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1" fillId="0" borderId="0" xfId="0" applyNumberFormat="1" applyFont="1"/>
    <xf numFmtId="1" fontId="1" fillId="0" borderId="0" xfId="2" applyNumberFormat="1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7" fontId="0" fillId="0" borderId="0" xfId="0" applyNumberFormat="1" applyAlignment="1">
      <alignment horizontal="left"/>
    </xf>
    <xf numFmtId="8" fontId="0" fillId="0" borderId="0" xfId="0" applyNumberFormat="1" applyAlignment="1">
      <alignment horizontal="left"/>
    </xf>
    <xf numFmtId="8" fontId="1" fillId="0" borderId="0" xfId="0" applyNumberFormat="1" applyFont="1" applyAlignment="1">
      <alignment horizontal="left"/>
    </xf>
    <xf numFmtId="1" fontId="0" fillId="0" borderId="0" xfId="0" applyNumberFormat="1"/>
    <xf numFmtId="0" fontId="23" fillId="0" borderId="0" xfId="0" applyFont="1" applyAlignment="1">
      <alignment horizontal="left" vertical="center"/>
    </xf>
    <xf numFmtId="0" fontId="22" fillId="0" borderId="0" xfId="0" applyFont="1"/>
    <xf numFmtId="0" fontId="2" fillId="0" borderId="0" xfId="0" applyFont="1"/>
    <xf numFmtId="0" fontId="24" fillId="14" borderId="30" xfId="0" applyFont="1" applyFill="1" applyBorder="1" applyAlignment="1">
      <alignment horizontal="center"/>
    </xf>
    <xf numFmtId="17" fontId="24" fillId="15" borderId="29" xfId="0" applyNumberFormat="1" applyFont="1" applyFill="1" applyBorder="1" applyAlignment="1">
      <alignment horizontal="center"/>
    </xf>
    <xf numFmtId="17" fontId="24" fillId="15" borderId="31" xfId="0" applyNumberFormat="1" applyFont="1" applyFill="1" applyBorder="1" applyAlignment="1">
      <alignment horizontal="center"/>
    </xf>
    <xf numFmtId="17" fontId="24" fillId="15" borderId="33" xfId="0" applyNumberFormat="1" applyFont="1" applyFill="1" applyBorder="1" applyAlignment="1">
      <alignment horizontal="center"/>
    </xf>
    <xf numFmtId="17" fontId="24" fillId="15" borderId="32" xfId="0" applyNumberFormat="1" applyFont="1" applyFill="1" applyBorder="1" applyAlignment="1">
      <alignment horizontal="center"/>
    </xf>
    <xf numFmtId="0" fontId="24" fillId="16" borderId="0" xfId="0" applyFont="1" applyFill="1"/>
    <xf numFmtId="0" fontId="27" fillId="0" borderId="0" xfId="0" applyFont="1"/>
    <xf numFmtId="9" fontId="6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20" xfId="0" applyFill="1" applyBorder="1" applyAlignment="1">
      <alignment horizontal="center"/>
    </xf>
    <xf numFmtId="166" fontId="0" fillId="11" borderId="34" xfId="0" applyNumberFormat="1" applyFill="1" applyBorder="1" applyAlignment="1">
      <alignment horizontal="center"/>
    </xf>
    <xf numFmtId="0" fontId="27" fillId="0" borderId="0" xfId="0" applyFont="1" applyAlignment="1">
      <alignment horizontal="left"/>
    </xf>
    <xf numFmtId="0" fontId="6" fillId="12" borderId="1" xfId="0" applyFont="1" applyFill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27" fillId="0" borderId="1" xfId="0" applyNumberFormat="1" applyFont="1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8" borderId="1" xfId="0" applyNumberFormat="1" applyFill="1" applyBorder="1" applyAlignment="1">
      <alignment horizontal="center"/>
    </xf>
    <xf numFmtId="166" fontId="0" fillId="18" borderId="1" xfId="0" applyNumberFormat="1" applyFill="1" applyBorder="1" applyAlignment="1">
      <alignment horizontal="center"/>
    </xf>
    <xf numFmtId="166" fontId="0" fillId="7" borderId="24" xfId="0" applyNumberFormat="1" applyFill="1" applyBorder="1" applyAlignment="1">
      <alignment horizontal="center"/>
    </xf>
    <xf numFmtId="166" fontId="0" fillId="7" borderId="20" xfId="0" applyNumberFormat="1" applyFill="1" applyBorder="1" applyAlignment="1">
      <alignment horizontal="center"/>
    </xf>
    <xf numFmtId="166" fontId="0" fillId="0" borderId="0" xfId="0" applyNumberFormat="1"/>
    <xf numFmtId="0" fontId="10" fillId="12" borderId="1" xfId="0" applyFont="1" applyFill="1" applyBorder="1" applyAlignment="1">
      <alignment horizontal="center"/>
    </xf>
    <xf numFmtId="0" fontId="10" fillId="12" borderId="11" xfId="0" applyFont="1" applyFill="1" applyBorder="1" applyAlignment="1">
      <alignment horizontal="center"/>
    </xf>
    <xf numFmtId="0" fontId="10" fillId="12" borderId="11" xfId="0" applyFont="1" applyFill="1" applyBorder="1" applyAlignment="1">
      <alignment horizontal="center" wrapText="1"/>
    </xf>
    <xf numFmtId="0" fontId="11" fillId="0" borderId="13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166" fontId="11" fillId="0" borderId="12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8" fontId="11" fillId="0" borderId="13" xfId="0" applyNumberFormat="1" applyFont="1" applyBorder="1" applyAlignment="1">
      <alignment horizontal="center"/>
    </xf>
    <xf numFmtId="8" fontId="11" fillId="0" borderId="12" xfId="0" applyNumberFormat="1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8" fontId="6" fillId="0" borderId="0" xfId="0" applyNumberFormat="1" applyFont="1" applyAlignment="1">
      <alignment horizontal="center"/>
    </xf>
    <xf numFmtId="0" fontId="28" fillId="0" borderId="0" xfId="0" applyFont="1"/>
    <xf numFmtId="2" fontId="0" fillId="0" borderId="1" xfId="0" applyNumberForma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6" fillId="18" borderId="0" xfId="0" applyFont="1" applyFill="1"/>
    <xf numFmtId="0" fontId="6" fillId="0" borderId="1" xfId="0" applyFont="1" applyBorder="1" applyAlignment="1">
      <alignment horizontal="center"/>
    </xf>
    <xf numFmtId="44" fontId="0" fillId="0" borderId="1" xfId="1" applyFont="1" applyBorder="1" applyAlignment="1">
      <alignment horizontal="left"/>
    </xf>
    <xf numFmtId="9" fontId="0" fillId="0" borderId="0" xfId="2" applyFont="1"/>
    <xf numFmtId="0" fontId="6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18" fillId="9" borderId="0" xfId="0" applyFont="1" applyFill="1" applyAlignment="1">
      <alignment horizontal="center" vertical="center"/>
    </xf>
    <xf numFmtId="0" fontId="18" fillId="9" borderId="35" xfId="0" applyFont="1" applyFill="1" applyBorder="1" applyAlignment="1">
      <alignment horizontal="center" vertical="top"/>
    </xf>
    <xf numFmtId="0" fontId="18" fillId="9" borderId="0" xfId="0" applyFont="1" applyFill="1" applyAlignment="1">
      <alignment horizontal="center" vertical="top"/>
    </xf>
    <xf numFmtId="9" fontId="18" fillId="9" borderId="0" xfId="2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15" fontId="0" fillId="0" borderId="0" xfId="0" applyNumberFormat="1" applyAlignment="1">
      <alignment horizontal="left" vertical="top"/>
    </xf>
    <xf numFmtId="9" fontId="0" fillId="0" borderId="0" xfId="2" applyFont="1" applyFill="1" applyAlignment="1">
      <alignment horizontal="left"/>
    </xf>
    <xf numFmtId="15" fontId="0" fillId="0" borderId="0" xfId="0" applyNumberFormat="1" applyAlignment="1">
      <alignment horizontal="left"/>
    </xf>
    <xf numFmtId="9" fontId="0" fillId="0" borderId="0" xfId="2" applyFont="1" applyFill="1" applyBorder="1" applyAlignment="1">
      <alignment horizontal="left"/>
    </xf>
    <xf numFmtId="0" fontId="6" fillId="6" borderId="0" xfId="0" applyFont="1" applyFill="1" applyAlignment="1">
      <alignment horizontal="left"/>
    </xf>
    <xf numFmtId="0" fontId="0" fillId="0" borderId="35" xfId="0" applyBorder="1" applyAlignment="1">
      <alignment horizontal="left" vertical="top"/>
    </xf>
    <xf numFmtId="0" fontId="29" fillId="0" borderId="0" xfId="0" applyFont="1" applyAlignment="1">
      <alignment horizontal="left"/>
    </xf>
    <xf numFmtId="9" fontId="0" fillId="0" borderId="0" xfId="0" applyNumberFormat="1"/>
    <xf numFmtId="0" fontId="30" fillId="19" borderId="0" xfId="0" applyFont="1" applyFill="1"/>
    <xf numFmtId="9" fontId="0" fillId="0" borderId="1" xfId="0" applyNumberFormat="1" applyBorder="1"/>
    <xf numFmtId="9" fontId="0" fillId="0" borderId="1" xfId="2" applyFont="1" applyBorder="1"/>
    <xf numFmtId="0" fontId="31" fillId="9" borderId="0" xfId="0" applyFont="1" applyFill="1"/>
    <xf numFmtId="0" fontId="0" fillId="0" borderId="11" xfId="0" applyBorder="1" applyAlignment="1">
      <alignment horizontal="center"/>
    </xf>
    <xf numFmtId="0" fontId="0" fillId="6" borderId="1" xfId="0" applyFill="1" applyBorder="1" applyAlignment="1">
      <alignment horizontal="center"/>
    </xf>
    <xf numFmtId="44" fontId="0" fillId="0" borderId="1" xfId="1" applyFont="1" applyBorder="1"/>
    <xf numFmtId="0" fontId="30" fillId="20" borderId="0" xfId="0" applyFont="1" applyFill="1" applyAlignment="1">
      <alignment horizontal="center" vertical="center"/>
    </xf>
    <xf numFmtId="0" fontId="30" fillId="20" borderId="35" xfId="0" applyFont="1" applyFill="1" applyBorder="1" applyAlignment="1">
      <alignment horizontal="center" vertical="top"/>
    </xf>
    <xf numFmtId="0" fontId="30" fillId="20" borderId="0" xfId="0" applyFont="1" applyFill="1" applyAlignment="1">
      <alignment horizontal="center" vertical="top"/>
    </xf>
    <xf numFmtId="15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 vertical="top"/>
    </xf>
    <xf numFmtId="9" fontId="1" fillId="0" borderId="0" xfId="0" applyNumberFormat="1" applyFont="1" applyAlignment="1">
      <alignment horizontal="left"/>
    </xf>
    <xf numFmtId="15" fontId="1" fillId="0" borderId="0" xfId="0" applyNumberFormat="1" applyFont="1" applyAlignment="1">
      <alignment horizontal="left" vertical="top"/>
    </xf>
    <xf numFmtId="0" fontId="1" fillId="0" borderId="0" xfId="0" applyFont="1" applyAlignment="1">
      <alignment vertical="top"/>
    </xf>
    <xf numFmtId="15" fontId="1" fillId="0" borderId="0" xfId="0" applyNumberFormat="1" applyFont="1" applyAlignment="1">
      <alignment vertical="top"/>
    </xf>
    <xf numFmtId="15" fontId="1" fillId="0" borderId="0" xfId="0" applyNumberFormat="1" applyFont="1"/>
    <xf numFmtId="0" fontId="2" fillId="7" borderId="1" xfId="0" applyFont="1" applyFill="1" applyBorder="1" applyAlignment="1">
      <alignment horizontal="center" wrapText="1"/>
    </xf>
    <xf numFmtId="0" fontId="1" fillId="0" borderId="1" xfId="0" quotePrefix="1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6" fillId="6" borderId="1" xfId="0" applyFont="1" applyFill="1" applyBorder="1"/>
    <xf numFmtId="0" fontId="0" fillId="7" borderId="0" xfId="0" applyFill="1"/>
    <xf numFmtId="9" fontId="0" fillId="22" borderId="0" xfId="2" applyFont="1" applyFill="1"/>
    <xf numFmtId="0" fontId="32" fillId="7" borderId="0" xfId="0" quotePrefix="1" applyFont="1" applyFill="1"/>
    <xf numFmtId="0" fontId="32" fillId="7" borderId="0" xfId="0" applyFont="1" applyFill="1"/>
    <xf numFmtId="0" fontId="0" fillId="12" borderId="0" xfId="0" applyFill="1" applyAlignment="1">
      <alignment horizontal="left"/>
    </xf>
    <xf numFmtId="15" fontId="0" fillId="12" borderId="0" xfId="0" applyNumberFormat="1" applyFill="1" applyAlignment="1">
      <alignment horizontal="left"/>
    </xf>
    <xf numFmtId="0" fontId="0" fillId="12" borderId="0" xfId="0" applyFill="1" applyAlignment="1">
      <alignment horizontal="left" vertical="top"/>
    </xf>
    <xf numFmtId="9" fontId="0" fillId="12" borderId="0" xfId="2" applyFont="1" applyFill="1" applyBorder="1" applyAlignment="1">
      <alignment horizontal="left"/>
    </xf>
    <xf numFmtId="44" fontId="32" fillId="13" borderId="1" xfId="1" applyFont="1" applyFill="1" applyBorder="1" applyAlignment="1">
      <alignment horizontal="center"/>
    </xf>
    <xf numFmtId="9" fontId="32" fillId="13" borderId="1" xfId="2" applyFont="1" applyFill="1" applyBorder="1" applyAlignment="1">
      <alignment horizontal="center"/>
    </xf>
    <xf numFmtId="44" fontId="0" fillId="8" borderId="0" xfId="1" applyFont="1" applyFill="1" applyAlignment="1">
      <alignment horizontal="center"/>
    </xf>
    <xf numFmtId="44" fontId="0" fillId="8" borderId="0" xfId="1" applyFont="1" applyFill="1"/>
    <xf numFmtId="44" fontId="1" fillId="8" borderId="0" xfId="1" applyFont="1" applyFill="1"/>
    <xf numFmtId="44" fontId="0" fillId="22" borderId="0" xfId="0" applyNumberFormat="1" applyFill="1"/>
    <xf numFmtId="44" fontId="0" fillId="22" borderId="0" xfId="1" applyFont="1" applyFill="1" applyAlignment="1">
      <alignment horizontal="center"/>
    </xf>
    <xf numFmtId="44" fontId="0" fillId="22" borderId="0" xfId="1" applyFont="1" applyFill="1"/>
    <xf numFmtId="44" fontId="1" fillId="22" borderId="0" xfId="1" applyFont="1" applyFill="1"/>
    <xf numFmtId="9" fontId="0" fillId="7" borderId="0" xfId="0" applyNumberFormat="1" applyFill="1"/>
    <xf numFmtId="17" fontId="0" fillId="0" borderId="0" xfId="0" applyNumberFormat="1"/>
    <xf numFmtId="0" fontId="0" fillId="7" borderId="1" xfId="0" applyFill="1" applyBorder="1" applyAlignment="1">
      <alignment horizontal="left"/>
    </xf>
    <xf numFmtId="0" fontId="0" fillId="7" borderId="1" xfId="0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/>
    </xf>
    <xf numFmtId="0" fontId="0" fillId="8" borderId="1" xfId="0" applyFill="1" applyBorder="1"/>
    <xf numFmtId="0" fontId="0" fillId="0" borderId="0" xfId="0" pivotButton="1"/>
    <xf numFmtId="0" fontId="16" fillId="7" borderId="1" xfId="0" applyFont="1" applyFill="1" applyBorder="1" applyAlignment="1">
      <alignment horizontal="center" wrapText="1"/>
    </xf>
    <xf numFmtId="0" fontId="6" fillId="8" borderId="1" xfId="0" applyFont="1" applyFill="1" applyBorder="1"/>
    <xf numFmtId="0" fontId="6" fillId="8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wrapText="1"/>
    </xf>
    <xf numFmtId="0" fontId="0" fillId="7" borderId="1" xfId="0" applyFill="1" applyBorder="1" applyAlignment="1">
      <alignment wrapText="1"/>
    </xf>
    <xf numFmtId="44" fontId="0" fillId="0" borderId="0" xfId="1" applyFont="1" applyFill="1" applyBorder="1" applyAlignment="1">
      <alignment horizontal="center"/>
    </xf>
    <xf numFmtId="0" fontId="6" fillId="6" borderId="14" xfId="0" applyFont="1" applyFill="1" applyBorder="1"/>
    <xf numFmtId="0" fontId="6" fillId="6" borderId="14" xfId="0" applyFont="1" applyFill="1" applyBorder="1" applyAlignment="1">
      <alignment wrapText="1"/>
    </xf>
    <xf numFmtId="44" fontId="13" fillId="13" borderId="0" xfId="1" applyFont="1" applyFill="1" applyBorder="1"/>
    <xf numFmtId="44" fontId="32" fillId="13" borderId="0" xfId="1" applyFont="1" applyFill="1" applyBorder="1"/>
    <xf numFmtId="9" fontId="32" fillId="13" borderId="21" xfId="0" applyNumberFormat="1" applyFont="1" applyFill="1" applyBorder="1" applyAlignment="1">
      <alignment horizontal="center"/>
    </xf>
    <xf numFmtId="0" fontId="32" fillId="13" borderId="14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1" xfId="0" applyNumberFormat="1" applyBorder="1" applyAlignment="1">
      <alignment horizontal="center"/>
    </xf>
    <xf numFmtId="0" fontId="37" fillId="0" borderId="0" xfId="0" applyFont="1"/>
    <xf numFmtId="0" fontId="38" fillId="0" borderId="0" xfId="0" applyFont="1"/>
    <xf numFmtId="169" fontId="39" fillId="0" borderId="0" xfId="0" applyNumberFormat="1" applyFont="1" applyAlignment="1">
      <alignment horizontal="right"/>
    </xf>
    <xf numFmtId="0" fontId="40" fillId="0" borderId="0" xfId="0" applyFont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20" fillId="0" borderId="0" xfId="0" applyFont="1" applyAlignment="1">
      <alignment horizontal="center"/>
    </xf>
    <xf numFmtId="0" fontId="20" fillId="0" borderId="0" xfId="0" applyFont="1"/>
    <xf numFmtId="1" fontId="38" fillId="0" borderId="41" xfId="0" applyNumberFormat="1" applyFont="1" applyBorder="1" applyAlignment="1">
      <alignment horizontal="center"/>
    </xf>
    <xf numFmtId="170" fontId="38" fillId="0" borderId="41" xfId="0" applyNumberFormat="1" applyFont="1" applyBorder="1" applyAlignment="1">
      <alignment horizontal="center"/>
    </xf>
    <xf numFmtId="1" fontId="38" fillId="23" borderId="41" xfId="0" applyNumberFormat="1" applyFont="1" applyFill="1" applyBorder="1" applyAlignment="1">
      <alignment horizontal="center"/>
    </xf>
    <xf numFmtId="0" fontId="45" fillId="0" borderId="0" xfId="0" applyFont="1"/>
    <xf numFmtId="0" fontId="43" fillId="0" borderId="0" xfId="0" applyFont="1" applyAlignment="1">
      <alignment horizontal="center"/>
    </xf>
    <xf numFmtId="1" fontId="46" fillId="0" borderId="42" xfId="0" applyNumberFormat="1" applyFont="1" applyBorder="1" applyAlignment="1" applyProtection="1">
      <alignment horizontal="center"/>
      <protection locked="0"/>
    </xf>
    <xf numFmtId="1" fontId="46" fillId="0" borderId="43" xfId="0" applyNumberFormat="1" applyFont="1" applyBorder="1" applyAlignment="1" applyProtection="1">
      <alignment horizontal="center"/>
      <protection locked="0"/>
    </xf>
    <xf numFmtId="1" fontId="46" fillId="0" borderId="44" xfId="0" applyNumberFormat="1" applyFont="1" applyBorder="1" applyAlignment="1" applyProtection="1">
      <alignment horizontal="center"/>
      <protection locked="0"/>
    </xf>
    <xf numFmtId="1" fontId="38" fillId="0" borderId="45" xfId="0" quotePrefix="1" applyNumberFormat="1" applyFont="1" applyBorder="1" applyAlignment="1">
      <alignment horizontal="center"/>
    </xf>
    <xf numFmtId="1" fontId="38" fillId="0" borderId="46" xfId="0" applyNumberFormat="1" applyFont="1" applyBorder="1" applyAlignment="1">
      <alignment horizontal="center"/>
    </xf>
    <xf numFmtId="1" fontId="46" fillId="0" borderId="47" xfId="0" applyNumberFormat="1" applyFont="1" applyBorder="1" applyAlignment="1" applyProtection="1">
      <alignment horizontal="center"/>
      <protection locked="0"/>
    </xf>
    <xf numFmtId="1" fontId="46" fillId="0" borderId="0" xfId="0" applyNumberFormat="1" applyFont="1" applyAlignment="1" applyProtection="1">
      <alignment horizontal="center"/>
      <protection locked="0"/>
    </xf>
    <xf numFmtId="1" fontId="46" fillId="0" borderId="48" xfId="0" applyNumberFormat="1" applyFont="1" applyBorder="1" applyAlignment="1" applyProtection="1">
      <alignment horizontal="center"/>
      <protection locked="0"/>
    </xf>
    <xf numFmtId="1" fontId="38" fillId="0" borderId="49" xfId="0" applyNumberFormat="1" applyFont="1" applyBorder="1" applyAlignment="1">
      <alignment horizontal="center"/>
    </xf>
    <xf numFmtId="1" fontId="38" fillId="0" borderId="0" xfId="0" applyNumberFormat="1" applyFont="1" applyAlignment="1">
      <alignment horizontal="center"/>
    </xf>
    <xf numFmtId="1" fontId="46" fillId="0" borderId="50" xfId="0" applyNumberFormat="1" applyFont="1" applyBorder="1" applyAlignment="1" applyProtection="1">
      <alignment horizontal="center"/>
      <protection locked="0"/>
    </xf>
    <xf numFmtId="1" fontId="46" fillId="0" borderId="51" xfId="0" applyNumberFormat="1" applyFont="1" applyBorder="1" applyAlignment="1" applyProtection="1">
      <alignment horizontal="center"/>
      <protection locked="0"/>
    </xf>
    <xf numFmtId="1" fontId="46" fillId="0" borderId="52" xfId="0" applyNumberFormat="1" applyFont="1" applyBorder="1" applyAlignment="1" applyProtection="1">
      <alignment horizontal="center"/>
      <protection locked="0"/>
    </xf>
    <xf numFmtId="2" fontId="38" fillId="0" borderId="0" xfId="0" applyNumberFormat="1" applyFont="1"/>
    <xf numFmtId="0" fontId="42" fillId="23" borderId="0" xfId="0" quotePrefix="1" applyFont="1" applyFill="1"/>
    <xf numFmtId="0" fontId="43" fillId="23" borderId="0" xfId="0" applyFont="1" applyFill="1"/>
    <xf numFmtId="0" fontId="38" fillId="23" borderId="0" xfId="0" applyFont="1" applyFill="1"/>
    <xf numFmtId="1" fontId="38" fillId="0" borderId="53" xfId="0" applyNumberFormat="1" applyFont="1" applyBorder="1" applyAlignment="1">
      <alignment horizontal="center"/>
    </xf>
    <xf numFmtId="1" fontId="38" fillId="0" borderId="54" xfId="0" applyNumberFormat="1" applyFont="1" applyBorder="1" applyAlignment="1">
      <alignment horizontal="center"/>
    </xf>
    <xf numFmtId="170" fontId="38" fillId="0" borderId="0" xfId="0" applyNumberFormat="1" applyFont="1" applyAlignment="1">
      <alignment horizontal="center"/>
    </xf>
    <xf numFmtId="1" fontId="38" fillId="23" borderId="0" xfId="0" applyNumberFormat="1" applyFont="1" applyFill="1" applyAlignment="1">
      <alignment horizontal="center"/>
    </xf>
    <xf numFmtId="1" fontId="38" fillId="0" borderId="0" xfId="0" applyNumberFormat="1" applyFont="1"/>
    <xf numFmtId="1" fontId="38" fillId="0" borderId="0" xfId="0" quotePrefix="1" applyNumberFormat="1" applyFont="1" applyAlignment="1">
      <alignment horizontal="center"/>
    </xf>
    <xf numFmtId="166" fontId="0" fillId="11" borderId="18" xfId="0" applyNumberFormat="1" applyFill="1" applyBorder="1" applyAlignment="1">
      <alignment horizontal="center"/>
    </xf>
    <xf numFmtId="0" fontId="48" fillId="0" borderId="55" xfId="0" applyFont="1" applyBorder="1" applyAlignment="1">
      <alignment horizontal="center"/>
    </xf>
    <xf numFmtId="171" fontId="47" fillId="0" borderId="56" xfId="0" applyNumberFormat="1" applyFont="1" applyBorder="1" applyAlignment="1">
      <alignment horizontal="center"/>
    </xf>
    <xf numFmtId="1" fontId="47" fillId="0" borderId="56" xfId="0" applyNumberFormat="1" applyFont="1" applyBorder="1" applyAlignment="1">
      <alignment horizontal="center"/>
    </xf>
    <xf numFmtId="165" fontId="47" fillId="0" borderId="56" xfId="0" applyNumberFormat="1" applyFont="1" applyBorder="1" applyAlignment="1">
      <alignment horizontal="center"/>
    </xf>
    <xf numFmtId="165" fontId="49" fillId="0" borderId="56" xfId="0" applyNumberFormat="1" applyFont="1" applyBorder="1" applyAlignment="1">
      <alignment horizontal="center"/>
    </xf>
    <xf numFmtId="0" fontId="6" fillId="0" borderId="30" xfId="0" applyFont="1" applyBorder="1"/>
    <xf numFmtId="0" fontId="0" fillId="0" borderId="57" xfId="0" applyBorder="1"/>
    <xf numFmtId="0" fontId="6" fillId="0" borderId="58" xfId="0" applyFont="1" applyBorder="1" applyAlignment="1">
      <alignment horizontal="center"/>
    </xf>
    <xf numFmtId="0" fontId="0" fillId="0" borderId="58" xfId="0" applyBorder="1"/>
    <xf numFmtId="0" fontId="6" fillId="0" borderId="58" xfId="0" applyFont="1" applyBorder="1"/>
    <xf numFmtId="0" fontId="18" fillId="9" borderId="3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0" fillId="0" borderId="26" xfId="0" applyBorder="1"/>
    <xf numFmtId="0" fontId="6" fillId="7" borderId="4" xfId="0" applyFont="1" applyFill="1" applyBorder="1" applyAlignment="1">
      <alignment horizontal="center"/>
    </xf>
    <xf numFmtId="0" fontId="6" fillId="10" borderId="3" xfId="0" applyFont="1" applyFill="1" applyBorder="1" applyAlignment="1">
      <alignment horizontal="center"/>
    </xf>
    <xf numFmtId="0" fontId="6" fillId="10" borderId="4" xfId="0" applyFont="1" applyFill="1" applyBorder="1" applyAlignment="1">
      <alignment wrapText="1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27" xfId="0" applyBorder="1" applyAlignment="1">
      <alignment horizontal="center"/>
    </xf>
    <xf numFmtId="9" fontId="0" fillId="0" borderId="26" xfId="2" applyFont="1" applyBorder="1" applyAlignment="1">
      <alignment horizontal="center"/>
    </xf>
    <xf numFmtId="9" fontId="0" fillId="0" borderId="27" xfId="2" applyFont="1" applyBorder="1"/>
    <xf numFmtId="0" fontId="0" fillId="0" borderId="26" xfId="0" applyBorder="1" applyAlignment="1">
      <alignment horizontal="center"/>
    </xf>
    <xf numFmtId="0" fontId="1" fillId="0" borderId="27" xfId="0" applyFont="1" applyBorder="1" applyAlignment="1">
      <alignment horizontal="center"/>
    </xf>
    <xf numFmtId="44" fontId="6" fillId="0" borderId="4" xfId="1" applyFont="1" applyFill="1" applyBorder="1"/>
    <xf numFmtId="0" fontId="6" fillId="11" borderId="3" xfId="0" applyFont="1" applyFill="1" applyBorder="1"/>
    <xf numFmtId="0" fontId="6" fillId="7" borderId="4" xfId="0" applyFont="1" applyFill="1" applyBorder="1" applyAlignment="1">
      <alignment horizontal="center" vertical="center"/>
    </xf>
    <xf numFmtId="9" fontId="0" fillId="0" borderId="3" xfId="2" applyFont="1" applyBorder="1" applyAlignment="1">
      <alignment horizontal="center"/>
    </xf>
    <xf numFmtId="9" fontId="0" fillId="0" borderId="4" xfId="2" applyFont="1" applyBorder="1" applyAlignment="1">
      <alignment horizontal="center" vertical="center"/>
    </xf>
    <xf numFmtId="44" fontId="6" fillId="0" borderId="4" xfId="0" applyNumberFormat="1" applyFont="1" applyBorder="1"/>
    <xf numFmtId="0" fontId="0" fillId="0" borderId="27" xfId="0" applyBorder="1"/>
    <xf numFmtId="0" fontId="0" fillId="0" borderId="59" xfId="0" applyBorder="1"/>
    <xf numFmtId="0" fontId="1" fillId="0" borderId="28" xfId="0" applyFont="1" applyBorder="1"/>
    <xf numFmtId="0" fontId="0" fillId="0" borderId="25" xfId="0" applyBorder="1" applyAlignment="1">
      <alignment horizontal="center"/>
    </xf>
    <xf numFmtId="9" fontId="0" fillId="0" borderId="5" xfId="2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7" xfId="2" applyFont="1" applyBorder="1" applyAlignment="1">
      <alignment horizontal="center" vertical="center"/>
    </xf>
    <xf numFmtId="0" fontId="0" fillId="0" borderId="59" xfId="0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2" fillId="7" borderId="1" xfId="0" applyFont="1" applyFill="1" applyBorder="1" applyAlignment="1">
      <alignment wrapText="1"/>
    </xf>
    <xf numFmtId="44" fontId="1" fillId="6" borderId="1" xfId="1" applyFont="1" applyFill="1" applyBorder="1" applyAlignment="1">
      <alignment wrapText="1"/>
    </xf>
    <xf numFmtId="9" fontId="6" fillId="6" borderId="1" xfId="2" applyFont="1" applyFill="1" applyBorder="1" applyAlignment="1">
      <alignment wrapText="1"/>
    </xf>
    <xf numFmtId="0" fontId="6" fillId="6" borderId="1" xfId="0" applyFont="1" applyFill="1" applyBorder="1" applyAlignment="1">
      <alignment wrapText="1"/>
    </xf>
    <xf numFmtId="9" fontId="1" fillId="0" borderId="14" xfId="2" applyFont="1" applyFill="1" applyBorder="1"/>
    <xf numFmtId="171" fontId="0" fillId="0" borderId="0" xfId="0" applyNumberFormat="1"/>
    <xf numFmtId="0" fontId="50" fillId="0" borderId="1" xfId="0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51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171" fontId="47" fillId="0" borderId="0" xfId="0" applyNumberFormat="1" applyFont="1" applyAlignment="1">
      <alignment horizontal="center"/>
    </xf>
    <xf numFmtId="1" fontId="47" fillId="0" borderId="0" xfId="0" applyNumberFormat="1" applyFont="1" applyAlignment="1">
      <alignment horizontal="center"/>
    </xf>
    <xf numFmtId="165" fontId="0" fillId="0" borderId="27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24" fillId="13" borderId="62" xfId="0" applyFont="1" applyFill="1" applyBorder="1" applyAlignment="1">
      <alignment horizontal="center"/>
    </xf>
    <xf numFmtId="0" fontId="24" fillId="0" borderId="8" xfId="0" applyFont="1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24" fillId="13" borderId="8" xfId="0" applyFont="1" applyFill="1" applyBorder="1" applyAlignment="1">
      <alignment horizontal="center"/>
    </xf>
    <xf numFmtId="0" fontId="24" fillId="0" borderId="24" xfId="0" applyFont="1" applyBorder="1" applyAlignment="1">
      <alignment horizontal="center"/>
    </xf>
    <xf numFmtId="165" fontId="47" fillId="0" borderId="1" xfId="0" applyNumberFormat="1" applyFont="1" applyBorder="1" applyAlignment="1">
      <alignment horizontal="center"/>
    </xf>
    <xf numFmtId="0" fontId="0" fillId="7" borderId="27" xfId="0" applyFill="1" applyBorder="1"/>
    <xf numFmtId="0" fontId="0" fillId="7" borderId="26" xfId="0" applyFill="1" applyBorder="1"/>
    <xf numFmtId="0" fontId="0" fillId="7" borderId="59" xfId="0" applyFill="1" applyBorder="1"/>
    <xf numFmtId="0" fontId="0" fillId="7" borderId="28" xfId="0" applyFill="1" applyBorder="1"/>
    <xf numFmtId="0" fontId="0" fillId="7" borderId="25" xfId="0" applyFill="1" applyBorder="1"/>
    <xf numFmtId="17" fontId="24" fillId="15" borderId="61" xfId="0" applyNumberFormat="1" applyFont="1" applyFill="1" applyBorder="1" applyAlignment="1">
      <alignment horizontal="center"/>
    </xf>
    <xf numFmtId="0" fontId="24" fillId="15" borderId="3" xfId="0" applyFont="1" applyFill="1" applyBorder="1" applyAlignment="1">
      <alignment horizontal="center"/>
    </xf>
    <xf numFmtId="0" fontId="26" fillId="15" borderId="3" xfId="0" applyFont="1" applyFill="1" applyBorder="1" applyAlignment="1">
      <alignment horizontal="center"/>
    </xf>
    <xf numFmtId="0" fontId="26" fillId="15" borderId="5" xfId="0" applyFont="1" applyFill="1" applyBorder="1" applyAlignment="1">
      <alignment horizontal="center"/>
    </xf>
    <xf numFmtId="10" fontId="50" fillId="0" borderId="1" xfId="0" applyNumberFormat="1" applyFont="1" applyBorder="1" applyAlignment="1">
      <alignment horizontal="center"/>
    </xf>
    <xf numFmtId="10" fontId="11" fillId="0" borderId="1" xfId="0" applyNumberFormat="1" applyFont="1" applyBorder="1" applyAlignment="1">
      <alignment horizontal="center"/>
    </xf>
    <xf numFmtId="0" fontId="48" fillId="0" borderId="1" xfId="0" applyFont="1" applyBorder="1" applyAlignment="1">
      <alignment horizontal="center"/>
    </xf>
    <xf numFmtId="10" fontId="47" fillId="0" borderId="1" xfId="0" applyNumberFormat="1" applyFont="1" applyBorder="1" applyAlignment="1">
      <alignment horizontal="center"/>
    </xf>
    <xf numFmtId="0" fontId="32" fillId="0" borderId="0" xfId="0" applyFont="1"/>
    <xf numFmtId="0" fontId="13" fillId="0" borderId="0" xfId="0" applyFont="1"/>
    <xf numFmtId="44" fontId="6" fillId="0" borderId="0" xfId="0" applyNumberFormat="1" applyFont="1"/>
    <xf numFmtId="44" fontId="6" fillId="0" borderId="0" xfId="1" applyFont="1" applyFill="1" applyBorder="1"/>
    <xf numFmtId="44" fontId="0" fillId="0" borderId="0" xfId="1" applyFont="1" applyFill="1" applyBorder="1"/>
    <xf numFmtId="0" fontId="32" fillId="13" borderId="67" xfId="0" applyFont="1" applyFill="1" applyBorder="1" applyAlignment="1">
      <alignment horizontal="center"/>
    </xf>
    <xf numFmtId="0" fontId="32" fillId="13" borderId="26" xfId="0" applyFont="1" applyFill="1" applyBorder="1"/>
    <xf numFmtId="0" fontId="32" fillId="13" borderId="0" xfId="0" applyFont="1" applyFill="1"/>
    <xf numFmtId="0" fontId="13" fillId="13" borderId="26" xfId="0" applyFont="1" applyFill="1" applyBorder="1"/>
    <xf numFmtId="0" fontId="13" fillId="13" borderId="0" xfId="0" applyFont="1" applyFill="1" applyAlignment="1">
      <alignment horizontal="center"/>
    </xf>
    <xf numFmtId="0" fontId="0" fillId="13" borderId="26" xfId="0" applyFill="1" applyBorder="1"/>
    <xf numFmtId="0" fontId="0" fillId="13" borderId="0" xfId="0" applyFill="1"/>
    <xf numFmtId="0" fontId="0" fillId="13" borderId="59" xfId="0" applyFill="1" applyBorder="1"/>
    <xf numFmtId="0" fontId="0" fillId="13" borderId="28" xfId="0" applyFill="1" applyBorder="1"/>
    <xf numFmtId="0" fontId="31" fillId="21" borderId="1" xfId="0" applyFont="1" applyFill="1" applyBorder="1" applyAlignment="1">
      <alignment horizontal="center"/>
    </xf>
    <xf numFmtId="44" fontId="13" fillId="13" borderId="1" xfId="1" applyFont="1" applyFill="1" applyBorder="1" applyAlignment="1">
      <alignment horizontal="center"/>
    </xf>
    <xf numFmtId="44" fontId="13" fillId="13" borderId="4" xfId="1" applyFont="1" applyFill="1" applyBorder="1" applyAlignment="1">
      <alignment horizontal="center"/>
    </xf>
    <xf numFmtId="44" fontId="32" fillId="13" borderId="4" xfId="1" applyFont="1" applyFill="1" applyBorder="1" applyAlignment="1">
      <alignment horizontal="center"/>
    </xf>
    <xf numFmtId="0" fontId="52" fillId="21" borderId="6" xfId="0" applyFont="1" applyFill="1" applyBorder="1" applyAlignment="1">
      <alignment horizontal="center"/>
    </xf>
    <xf numFmtId="44" fontId="36" fillId="21" borderId="6" xfId="0" applyNumberFormat="1" applyFont="1" applyFill="1" applyBorder="1" applyAlignment="1">
      <alignment horizontal="center"/>
    </xf>
    <xf numFmtId="44" fontId="36" fillId="21" borderId="7" xfId="0" applyNumberFormat="1" applyFont="1" applyFill="1" applyBorder="1" applyAlignment="1">
      <alignment horizontal="center"/>
    </xf>
    <xf numFmtId="0" fontId="31" fillId="21" borderId="5" xfId="0" applyFont="1" applyFill="1" applyBorder="1" applyAlignment="1">
      <alignment horizontal="center"/>
    </xf>
    <xf numFmtId="0" fontId="31" fillId="21" borderId="68" xfId="0" applyFont="1" applyFill="1" applyBorder="1" applyAlignment="1">
      <alignment horizontal="center" vertical="center" wrapText="1"/>
    </xf>
    <xf numFmtId="0" fontId="31" fillId="21" borderId="69" xfId="0" applyFont="1" applyFill="1" applyBorder="1" applyAlignment="1">
      <alignment vertical="center"/>
    </xf>
    <xf numFmtId="0" fontId="31" fillId="21" borderId="70" xfId="0" applyFont="1" applyFill="1" applyBorder="1" applyAlignment="1">
      <alignment vertical="center"/>
    </xf>
    <xf numFmtId="0" fontId="31" fillId="21" borderId="71" xfId="0" applyFont="1" applyFill="1" applyBorder="1" applyAlignment="1">
      <alignment vertical="center"/>
    </xf>
    <xf numFmtId="9" fontId="36" fillId="21" borderId="6" xfId="0" applyNumberFormat="1" applyFont="1" applyFill="1" applyBorder="1" applyAlignment="1">
      <alignment horizontal="center" vertical="center"/>
    </xf>
    <xf numFmtId="0" fontId="36" fillId="21" borderId="72" xfId="0" applyFont="1" applyFill="1" applyBorder="1" applyAlignment="1">
      <alignment horizontal="center" vertical="center"/>
    </xf>
    <xf numFmtId="9" fontId="36" fillId="21" borderId="73" xfId="0" applyNumberFormat="1" applyFont="1" applyFill="1" applyBorder="1" applyAlignment="1">
      <alignment horizontal="center" vertical="center"/>
    </xf>
    <xf numFmtId="0" fontId="36" fillId="21" borderId="74" xfId="0" applyFont="1" applyFill="1" applyBorder="1" applyAlignment="1">
      <alignment horizontal="center" vertical="center"/>
    </xf>
    <xf numFmtId="0" fontId="31" fillId="21" borderId="75" xfId="0" applyFont="1" applyFill="1" applyBorder="1" applyAlignment="1">
      <alignment horizontal="center" vertical="center"/>
    </xf>
    <xf numFmtId="44" fontId="32" fillId="13" borderId="11" xfId="1" applyFont="1" applyFill="1" applyBorder="1" applyAlignment="1">
      <alignment horizontal="center"/>
    </xf>
    <xf numFmtId="0" fontId="52" fillId="21" borderId="76" xfId="0" applyFont="1" applyFill="1" applyBorder="1" applyAlignment="1">
      <alignment vertical="center"/>
    </xf>
    <xf numFmtId="0" fontId="53" fillId="21" borderId="77" xfId="0" applyFont="1" applyFill="1" applyBorder="1" applyAlignment="1">
      <alignment vertical="center"/>
    </xf>
    <xf numFmtId="0" fontId="53" fillId="21" borderId="78" xfId="0" applyFont="1" applyFill="1" applyBorder="1"/>
    <xf numFmtId="0" fontId="31" fillId="21" borderId="79" xfId="0" applyFont="1" applyFill="1" applyBorder="1" applyAlignment="1">
      <alignment vertical="center"/>
    </xf>
    <xf numFmtId="9" fontId="0" fillId="7" borderId="0" xfId="2" applyFont="1" applyFill="1" applyBorder="1"/>
    <xf numFmtId="0" fontId="32" fillId="13" borderId="11" xfId="0" applyFont="1" applyFill="1" applyBorder="1" applyAlignment="1">
      <alignment horizontal="center"/>
    </xf>
    <xf numFmtId="0" fontId="32" fillId="13" borderId="11" xfId="0" applyFont="1" applyFill="1" applyBorder="1" applyAlignment="1">
      <alignment horizontal="center" wrapText="1"/>
    </xf>
    <xf numFmtId="0" fontId="31" fillId="21" borderId="80" xfId="0" applyFont="1" applyFill="1" applyBorder="1" applyAlignment="1">
      <alignment horizontal="left"/>
    </xf>
    <xf numFmtId="0" fontId="31" fillId="21" borderId="80" xfId="0" applyFont="1" applyFill="1" applyBorder="1" applyAlignment="1">
      <alignment horizontal="left" wrapText="1"/>
    </xf>
    <xf numFmtId="0" fontId="31" fillId="24" borderId="2" xfId="0" applyFont="1" applyFill="1" applyBorder="1"/>
    <xf numFmtId="0" fontId="31" fillId="24" borderId="68" xfId="0" applyFont="1" applyFill="1" applyBorder="1"/>
    <xf numFmtId="0" fontId="31" fillId="24" borderId="83" xfId="0" applyFont="1" applyFill="1" applyBorder="1"/>
    <xf numFmtId="0" fontId="31" fillId="24" borderId="2" xfId="0" applyFont="1" applyFill="1" applyBorder="1" applyAlignment="1">
      <alignment vertical="center"/>
    </xf>
    <xf numFmtId="0" fontId="31" fillId="24" borderId="68" xfId="0" applyFont="1" applyFill="1" applyBorder="1" applyAlignment="1">
      <alignment vertical="center"/>
    </xf>
    <xf numFmtId="0" fontId="31" fillId="24" borderId="68" xfId="0" applyFont="1" applyFill="1" applyBorder="1" applyAlignment="1">
      <alignment horizontal="center" vertical="center"/>
    </xf>
    <xf numFmtId="0" fontId="31" fillId="24" borderId="68" xfId="0" applyFont="1" applyFill="1" applyBorder="1" applyAlignment="1">
      <alignment horizontal="center" vertical="center" wrapText="1"/>
    </xf>
    <xf numFmtId="0" fontId="31" fillId="24" borderId="83" xfId="0" applyFont="1" applyFill="1" applyBorder="1" applyAlignment="1">
      <alignment vertical="center"/>
    </xf>
    <xf numFmtId="0" fontId="32" fillId="7" borderId="1" xfId="0" applyFont="1" applyFill="1" applyBorder="1" applyAlignment="1">
      <alignment horizontal="center"/>
    </xf>
    <xf numFmtId="9" fontId="32" fillId="7" borderId="1" xfId="0" applyNumberFormat="1" applyFont="1" applyFill="1" applyBorder="1" applyAlignment="1">
      <alignment horizontal="center"/>
    </xf>
    <xf numFmtId="9" fontId="32" fillId="7" borderId="1" xfId="2" applyFont="1" applyFill="1" applyBorder="1" applyAlignment="1">
      <alignment horizontal="center"/>
    </xf>
    <xf numFmtId="9" fontId="32" fillId="7" borderId="4" xfId="2" applyFont="1" applyFill="1" applyBorder="1" applyAlignment="1">
      <alignment horizontal="center"/>
    </xf>
    <xf numFmtId="0" fontId="32" fillId="7" borderId="6" xfId="0" applyFont="1" applyFill="1" applyBorder="1" applyAlignment="1">
      <alignment horizontal="center"/>
    </xf>
    <xf numFmtId="9" fontId="32" fillId="7" borderId="6" xfId="0" applyNumberFormat="1" applyFont="1" applyFill="1" applyBorder="1" applyAlignment="1">
      <alignment horizontal="center"/>
    </xf>
    <xf numFmtId="9" fontId="32" fillId="7" borderId="6" xfId="2" applyFont="1" applyFill="1" applyBorder="1" applyAlignment="1">
      <alignment horizontal="center"/>
    </xf>
    <xf numFmtId="9" fontId="32" fillId="7" borderId="7" xfId="2" applyFont="1" applyFill="1" applyBorder="1" applyAlignment="1">
      <alignment horizontal="center"/>
    </xf>
    <xf numFmtId="0" fontId="13" fillId="25" borderId="1" xfId="0" applyFont="1" applyFill="1" applyBorder="1" applyAlignment="1">
      <alignment horizontal="center"/>
    </xf>
    <xf numFmtId="0" fontId="13" fillId="25" borderId="6" xfId="0" applyFont="1" applyFill="1" applyBorder="1" applyAlignment="1">
      <alignment horizontal="center"/>
    </xf>
    <xf numFmtId="0" fontId="31" fillId="24" borderId="3" xfId="0" applyFont="1" applyFill="1" applyBorder="1" applyAlignment="1">
      <alignment vertical="center"/>
    </xf>
    <xf numFmtId="0" fontId="31" fillId="24" borderId="3" xfId="0" applyFont="1" applyFill="1" applyBorder="1"/>
    <xf numFmtId="0" fontId="31" fillId="24" borderId="3" xfId="0" applyFont="1" applyFill="1" applyBorder="1" applyAlignment="1">
      <alignment horizontal="center" vertical="center"/>
    </xf>
    <xf numFmtId="0" fontId="31" fillId="24" borderId="3" xfId="0" applyFont="1" applyFill="1" applyBorder="1" applyAlignment="1">
      <alignment horizontal="center"/>
    </xf>
    <xf numFmtId="0" fontId="31" fillId="24" borderId="5" xfId="0" applyFont="1" applyFill="1" applyBorder="1" applyAlignment="1">
      <alignment horizontal="center"/>
    </xf>
    <xf numFmtId="0" fontId="55" fillId="7" borderId="1" xfId="0" applyFont="1" applyFill="1" applyBorder="1"/>
    <xf numFmtId="0" fontId="55" fillId="7" borderId="6" xfId="0" applyFont="1" applyFill="1" applyBorder="1"/>
    <xf numFmtId="0" fontId="31" fillId="24" borderId="5" xfId="0" applyFont="1" applyFill="1" applyBorder="1" applyAlignment="1">
      <alignment horizontal="center" vertical="center" wrapText="1"/>
    </xf>
    <xf numFmtId="0" fontId="31" fillId="24" borderId="83" xfId="0" applyFont="1" applyFill="1" applyBorder="1" applyAlignment="1">
      <alignment horizontal="center"/>
    </xf>
    <xf numFmtId="44" fontId="32" fillId="7" borderId="4" xfId="1" applyFont="1" applyFill="1" applyBorder="1" applyAlignment="1">
      <alignment horizontal="center"/>
    </xf>
    <xf numFmtId="9" fontId="13" fillId="7" borderId="7" xfId="2" applyFont="1" applyFill="1" applyBorder="1" applyAlignment="1">
      <alignment horizontal="center"/>
    </xf>
    <xf numFmtId="0" fontId="31" fillId="7" borderId="2" xfId="0" applyFont="1" applyFill="1" applyBorder="1" applyAlignment="1">
      <alignment horizontal="center" vertical="center"/>
    </xf>
    <xf numFmtId="0" fontId="54" fillId="13" borderId="11" xfId="0" applyFont="1" applyFill="1" applyBorder="1" applyAlignment="1">
      <alignment horizontal="center"/>
    </xf>
    <xf numFmtId="0" fontId="54" fillId="13" borderId="11" xfId="0" applyFont="1" applyFill="1" applyBorder="1" applyAlignment="1">
      <alignment horizontal="center" wrapText="1"/>
    </xf>
    <xf numFmtId="0" fontId="0" fillId="26" borderId="57" xfId="0" applyFill="1" applyBorder="1"/>
    <xf numFmtId="1" fontId="19" fillId="26" borderId="20" xfId="0" applyNumberFormat="1" applyFont="1" applyFill="1" applyBorder="1" applyAlignment="1">
      <alignment horizontal="center" vertical="center"/>
    </xf>
    <xf numFmtId="165" fontId="19" fillId="26" borderId="20" xfId="0" applyNumberFormat="1" applyFont="1" applyFill="1" applyBorder="1" applyAlignment="1">
      <alignment horizontal="center" vertical="center"/>
    </xf>
    <xf numFmtId="0" fontId="0" fillId="26" borderId="28" xfId="0" applyFill="1" applyBorder="1"/>
    <xf numFmtId="0" fontId="32" fillId="7" borderId="1" xfId="0" applyFont="1" applyFill="1" applyBorder="1"/>
    <xf numFmtId="44" fontId="34" fillId="7" borderId="1" xfId="0" applyNumberFormat="1" applyFont="1" applyFill="1" applyBorder="1"/>
    <xf numFmtId="9" fontId="32" fillId="7" borderId="0" xfId="2" applyFont="1" applyFill="1" applyBorder="1" applyAlignment="1">
      <alignment horizontal="center"/>
    </xf>
    <xf numFmtId="0" fontId="32" fillId="7" borderId="4" xfId="0" applyFont="1" applyFill="1" applyBorder="1"/>
    <xf numFmtId="0" fontId="13" fillId="7" borderId="4" xfId="0" applyFont="1" applyFill="1" applyBorder="1"/>
    <xf numFmtId="0" fontId="13" fillId="7" borderId="7" xfId="0" applyFont="1" applyFill="1" applyBorder="1"/>
    <xf numFmtId="0" fontId="0" fillId="7" borderId="80" xfId="0" applyFill="1" applyBorder="1"/>
    <xf numFmtId="0" fontId="32" fillId="7" borderId="84" xfId="0" applyFont="1" applyFill="1" applyBorder="1" applyAlignment="1">
      <alignment horizontal="center"/>
    </xf>
    <xf numFmtId="0" fontId="31" fillId="24" borderId="5" xfId="0" applyFont="1" applyFill="1" applyBorder="1"/>
    <xf numFmtId="0" fontId="31" fillId="24" borderId="63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58" fillId="24" borderId="2" xfId="0" applyFont="1" applyFill="1" applyBorder="1" applyAlignment="1">
      <alignment horizontal="center" vertical="center"/>
    </xf>
    <xf numFmtId="0" fontId="60" fillId="24" borderId="68" xfId="0" applyFont="1" applyFill="1" applyBorder="1"/>
    <xf numFmtId="0" fontId="60" fillId="24" borderId="68" xfId="0" applyFont="1" applyFill="1" applyBorder="1" applyAlignment="1">
      <alignment horizontal="center"/>
    </xf>
    <xf numFmtId="0" fontId="60" fillId="24" borderId="83" xfId="0" applyFont="1" applyFill="1" applyBorder="1" applyAlignment="1">
      <alignment horizontal="center" wrapText="1"/>
    </xf>
    <xf numFmtId="0" fontId="58" fillId="24" borderId="3" xfId="0" applyFont="1" applyFill="1" applyBorder="1" applyAlignment="1">
      <alignment horizontal="center" vertical="center"/>
    </xf>
    <xf numFmtId="9" fontId="0" fillId="7" borderId="4" xfId="2" applyFont="1" applyFill="1" applyBorder="1" applyAlignment="1">
      <alignment horizontal="center" vertical="center"/>
    </xf>
    <xf numFmtId="0" fontId="58" fillId="24" borderId="5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9" fontId="0" fillId="7" borderId="7" xfId="2" applyFont="1" applyFill="1" applyBorder="1" applyAlignment="1">
      <alignment horizontal="center" vertical="center"/>
    </xf>
    <xf numFmtId="0" fontId="55" fillId="7" borderId="1" xfId="0" applyFont="1" applyFill="1" applyBorder="1" applyAlignment="1">
      <alignment horizontal="center" vertical="center"/>
    </xf>
    <xf numFmtId="0" fontId="55" fillId="7" borderId="6" xfId="0" applyFont="1" applyFill="1" applyBorder="1" applyAlignment="1">
      <alignment horizontal="center" vertical="center"/>
    </xf>
    <xf numFmtId="0" fontId="31" fillId="24" borderId="2" xfId="0" applyFont="1" applyFill="1" applyBorder="1" applyAlignment="1">
      <alignment horizontal="left" vertical="center"/>
    </xf>
    <xf numFmtId="44" fontId="0" fillId="7" borderId="83" xfId="1" applyFont="1" applyFill="1" applyBorder="1" applyAlignment="1">
      <alignment horizontal="left"/>
    </xf>
    <xf numFmtId="0" fontId="31" fillId="24" borderId="3" xfId="0" applyFont="1" applyFill="1" applyBorder="1" applyAlignment="1">
      <alignment horizontal="left" vertical="center" wrapText="1"/>
    </xf>
    <xf numFmtId="44" fontId="0" fillId="7" borderId="4" xfId="1" applyFont="1" applyFill="1" applyBorder="1" applyAlignment="1">
      <alignment horizontal="left"/>
    </xf>
    <xf numFmtId="0" fontId="31" fillId="24" borderId="3" xfId="0" applyFont="1" applyFill="1" applyBorder="1" applyAlignment="1">
      <alignment horizontal="left" vertical="center"/>
    </xf>
    <xf numFmtId="44" fontId="0" fillId="7" borderId="4" xfId="0" applyNumberFormat="1" applyFill="1" applyBorder="1" applyAlignment="1">
      <alignment horizontal="left"/>
    </xf>
    <xf numFmtId="0" fontId="31" fillId="24" borderId="5" xfId="0" applyFont="1" applyFill="1" applyBorder="1" applyAlignment="1">
      <alignment horizontal="left" vertical="center"/>
    </xf>
    <xf numFmtId="44" fontId="6" fillId="7" borderId="7" xfId="0" applyNumberFormat="1" applyFont="1" applyFill="1" applyBorder="1" applyAlignment="1">
      <alignment horizontal="left"/>
    </xf>
    <xf numFmtId="0" fontId="60" fillId="24" borderId="87" xfId="0" applyFont="1" applyFill="1" applyBorder="1" applyAlignment="1">
      <alignment horizontal="center" vertical="center" wrapText="1"/>
    </xf>
    <xf numFmtId="0" fontId="60" fillId="24" borderId="88" xfId="0" applyFont="1" applyFill="1" applyBorder="1" applyAlignment="1">
      <alignment horizontal="center" vertical="center"/>
    </xf>
    <xf numFmtId="0" fontId="60" fillId="24" borderId="89" xfId="0" applyFont="1" applyFill="1" applyBorder="1" applyAlignment="1">
      <alignment horizontal="center" vertical="center" wrapText="1"/>
    </xf>
    <xf numFmtId="0" fontId="1" fillId="7" borderId="67" xfId="0" applyFont="1" applyFill="1" applyBorder="1" applyAlignment="1">
      <alignment horizontal="center"/>
    </xf>
    <xf numFmtId="0" fontId="1" fillId="7" borderId="92" xfId="0" applyFont="1" applyFill="1" applyBorder="1" applyAlignment="1">
      <alignment horizontal="center"/>
    </xf>
    <xf numFmtId="0" fontId="6" fillId="7" borderId="6" xfId="0" applyFont="1" applyFill="1" applyBorder="1" applyAlignment="1">
      <alignment horizontal="center"/>
    </xf>
    <xf numFmtId="0" fontId="6" fillId="7" borderId="7" xfId="0" applyFont="1" applyFill="1" applyBorder="1" applyAlignment="1">
      <alignment horizontal="center"/>
    </xf>
    <xf numFmtId="0" fontId="61" fillId="7" borderId="21" xfId="0" applyFont="1" applyFill="1" applyBorder="1" applyAlignment="1">
      <alignment horizontal="center"/>
    </xf>
    <xf numFmtId="0" fontId="61" fillId="7" borderId="23" xfId="0" applyFont="1" applyFill="1" applyBorder="1" applyAlignment="1">
      <alignment horizontal="center"/>
    </xf>
    <xf numFmtId="0" fontId="14" fillId="24" borderId="90" xfId="0" applyFont="1" applyFill="1" applyBorder="1" applyAlignment="1">
      <alignment horizontal="center"/>
    </xf>
    <xf numFmtId="0" fontId="14" fillId="24" borderId="91" xfId="0" applyFont="1" applyFill="1" applyBorder="1" applyAlignment="1">
      <alignment horizontal="center"/>
    </xf>
    <xf numFmtId="0" fontId="14" fillId="24" borderId="5" xfId="0" applyFont="1" applyFill="1" applyBorder="1" applyAlignment="1">
      <alignment horizontal="center"/>
    </xf>
    <xf numFmtId="0" fontId="63" fillId="7" borderId="1" xfId="0" applyFont="1" applyFill="1" applyBorder="1"/>
    <xf numFmtId="0" fontId="1" fillId="7" borderId="80" xfId="0" quotePrefix="1" applyFont="1" applyFill="1" applyBorder="1" applyAlignment="1">
      <alignment horizontal="center"/>
    </xf>
    <xf numFmtId="0" fontId="2" fillId="7" borderId="84" xfId="0" applyFont="1" applyFill="1" applyBorder="1" applyAlignment="1">
      <alignment horizontal="center"/>
    </xf>
    <xf numFmtId="0" fontId="18" fillId="28" borderId="63" xfId="0" applyFont="1" applyFill="1" applyBorder="1" applyAlignment="1">
      <alignment horizontal="center"/>
    </xf>
    <xf numFmtId="0" fontId="62" fillId="24" borderId="2" xfId="0" applyFont="1" applyFill="1" applyBorder="1" applyAlignment="1">
      <alignment horizontal="center" vertical="center"/>
    </xf>
    <xf numFmtId="0" fontId="14" fillId="24" borderId="68" xfId="0" applyFont="1" applyFill="1" applyBorder="1" applyAlignment="1">
      <alignment horizontal="center" vertical="center"/>
    </xf>
    <xf numFmtId="0" fontId="60" fillId="24" borderId="68" xfId="0" applyFont="1" applyFill="1" applyBorder="1" applyAlignment="1">
      <alignment horizontal="center" vertical="center" wrapText="1"/>
    </xf>
    <xf numFmtId="0" fontId="14" fillId="24" borderId="83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62" fillId="24" borderId="5" xfId="0" applyFont="1" applyFill="1" applyBorder="1" applyAlignment="1">
      <alignment horizontal="center"/>
    </xf>
    <xf numFmtId="0" fontId="63" fillId="7" borderId="6" xfId="0" applyFont="1" applyFill="1" applyBorder="1"/>
    <xf numFmtId="0" fontId="0" fillId="7" borderId="7" xfId="0" applyFill="1" applyBorder="1" applyAlignment="1">
      <alignment horizontal="center"/>
    </xf>
    <xf numFmtId="0" fontId="34" fillId="24" borderId="2" xfId="0" applyFont="1" applyFill="1" applyBorder="1" applyAlignment="1">
      <alignment wrapText="1"/>
    </xf>
    <xf numFmtId="0" fontId="60" fillId="24" borderId="83" xfId="0" applyFont="1" applyFill="1" applyBorder="1" applyAlignment="1">
      <alignment horizontal="center"/>
    </xf>
    <xf numFmtId="0" fontId="59" fillId="24" borderId="3" xfId="0" applyFont="1" applyFill="1" applyBorder="1" applyAlignment="1">
      <alignment wrapText="1"/>
    </xf>
    <xf numFmtId="0" fontId="34" fillId="7" borderId="4" xfId="0" applyFont="1" applyFill="1" applyBorder="1"/>
    <xf numFmtId="0" fontId="59" fillId="24" borderId="5" xfId="0" applyFont="1" applyFill="1" applyBorder="1" applyAlignment="1">
      <alignment wrapText="1"/>
    </xf>
    <xf numFmtId="44" fontId="34" fillId="7" borderId="6" xfId="0" applyNumberFormat="1" applyFont="1" applyFill="1" applyBorder="1"/>
    <xf numFmtId="9" fontId="34" fillId="7" borderId="7" xfId="2" applyFont="1" applyFill="1" applyBorder="1"/>
    <xf numFmtId="171" fontId="19" fillId="26" borderId="20" xfId="0" applyNumberFormat="1" applyFont="1" applyFill="1" applyBorder="1" applyAlignment="1">
      <alignment horizontal="center" vertical="center"/>
    </xf>
    <xf numFmtId="0" fontId="0" fillId="26" borderId="0" xfId="0" applyFill="1"/>
    <xf numFmtId="165" fontId="0" fillId="26" borderId="27" xfId="0" applyNumberFormat="1" applyFill="1" applyBorder="1" applyAlignment="1">
      <alignment horizontal="center"/>
    </xf>
    <xf numFmtId="1" fontId="0" fillId="26" borderId="27" xfId="0" applyNumberFormat="1" applyFill="1" applyBorder="1" applyAlignment="1">
      <alignment horizontal="center"/>
    </xf>
    <xf numFmtId="1" fontId="0" fillId="26" borderId="25" xfId="0" applyNumberFormat="1" applyFill="1" applyBorder="1" applyAlignment="1">
      <alignment horizontal="center"/>
    </xf>
    <xf numFmtId="0" fontId="14" fillId="28" borderId="62" xfId="0" applyFont="1" applyFill="1" applyBorder="1" applyAlignment="1">
      <alignment horizontal="center"/>
    </xf>
    <xf numFmtId="0" fontId="14" fillId="28" borderId="34" xfId="0" applyFont="1" applyFill="1" applyBorder="1" applyAlignment="1">
      <alignment horizontal="center"/>
    </xf>
    <xf numFmtId="0" fontId="14" fillId="28" borderId="8" xfId="0" applyFont="1" applyFill="1" applyBorder="1" applyAlignment="1">
      <alignment horizontal="center"/>
    </xf>
    <xf numFmtId="0" fontId="14" fillId="28" borderId="24" xfId="0" applyFont="1" applyFill="1" applyBorder="1" applyAlignment="1">
      <alignment horizontal="center"/>
    </xf>
    <xf numFmtId="0" fontId="60" fillId="28" borderId="61" xfId="0" applyFont="1" applyFill="1" applyBorder="1" applyAlignment="1">
      <alignment horizontal="center"/>
    </xf>
    <xf numFmtId="0" fontId="60" fillId="28" borderId="34" xfId="0" applyFont="1" applyFill="1" applyBorder="1" applyAlignment="1">
      <alignment horizontal="center"/>
    </xf>
    <xf numFmtId="2" fontId="0" fillId="26" borderId="27" xfId="0" applyNumberFormat="1" applyFill="1" applyBorder="1" applyAlignment="1">
      <alignment horizontal="center"/>
    </xf>
    <xf numFmtId="172" fontId="0" fillId="26" borderId="27" xfId="0" applyNumberFormat="1" applyFill="1" applyBorder="1" applyAlignment="1">
      <alignment horizontal="center"/>
    </xf>
    <xf numFmtId="9" fontId="64" fillId="26" borderId="0" xfId="0" applyNumberFormat="1" applyFont="1" applyFill="1"/>
    <xf numFmtId="0" fontId="0" fillId="26" borderId="57" xfId="0" applyFill="1" applyBorder="1" applyAlignment="1">
      <alignment vertical="center"/>
    </xf>
    <xf numFmtId="0" fontId="60" fillId="28" borderId="63" xfId="0" applyFont="1" applyFill="1" applyBorder="1" applyAlignment="1">
      <alignment horizontal="center" vertical="center"/>
    </xf>
    <xf numFmtId="0" fontId="0" fillId="26" borderId="0" xfId="0" applyFill="1" applyAlignment="1">
      <alignment vertical="center"/>
    </xf>
    <xf numFmtId="0" fontId="0" fillId="8" borderId="26" xfId="0" applyFill="1" applyBorder="1"/>
    <xf numFmtId="0" fontId="0" fillId="8" borderId="27" xfId="0" applyFill="1" applyBorder="1"/>
    <xf numFmtId="166" fontId="0" fillId="8" borderId="27" xfId="0" applyNumberFormat="1" applyFill="1" applyBorder="1"/>
    <xf numFmtId="0" fontId="0" fillId="8" borderId="59" xfId="0" applyFill="1" applyBorder="1"/>
    <xf numFmtId="0" fontId="0" fillId="8" borderId="28" xfId="0" applyFill="1" applyBorder="1"/>
    <xf numFmtId="0" fontId="0" fillId="8" borderId="25" xfId="0" applyFill="1" applyBorder="1"/>
    <xf numFmtId="164" fontId="0" fillId="8" borderId="28" xfId="0" applyNumberFormat="1" applyFill="1" applyBorder="1"/>
    <xf numFmtId="164" fontId="0" fillId="8" borderId="25" xfId="0" applyNumberFormat="1" applyFill="1" applyBorder="1"/>
    <xf numFmtId="0" fontId="14" fillId="29" borderId="86" xfId="0" applyFont="1" applyFill="1" applyBorder="1" applyAlignment="1">
      <alignment horizontal="center" vertical="center"/>
    </xf>
    <xf numFmtId="0" fontId="14" fillId="29" borderId="60" xfId="0" applyFont="1" applyFill="1" applyBorder="1" applyAlignment="1">
      <alignment horizontal="center" vertical="center"/>
    </xf>
    <xf numFmtId="0" fontId="14" fillId="29" borderId="61" xfId="0" applyFont="1" applyFill="1" applyBorder="1" applyAlignment="1">
      <alignment horizontal="center" vertical="center"/>
    </xf>
    <xf numFmtId="0" fontId="14" fillId="29" borderId="8" xfId="0" applyFont="1" applyFill="1" applyBorder="1"/>
    <xf numFmtId="0" fontId="14" fillId="29" borderId="24" xfId="0" applyFont="1" applyFill="1" applyBorder="1"/>
    <xf numFmtId="0" fontId="60" fillId="29" borderId="2" xfId="0" applyFont="1" applyFill="1" applyBorder="1" applyAlignment="1">
      <alignment horizontal="center"/>
    </xf>
    <xf numFmtId="0" fontId="60" fillId="29" borderId="68" xfId="0" applyFont="1" applyFill="1" applyBorder="1" applyAlignment="1">
      <alignment horizontal="center"/>
    </xf>
    <xf numFmtId="0" fontId="60" fillId="29" borderId="83" xfId="0" applyFont="1" applyFill="1" applyBorder="1" applyAlignment="1">
      <alignment horizontal="center"/>
    </xf>
    <xf numFmtId="0" fontId="31" fillId="29" borderId="3" xfId="0" applyFont="1" applyFill="1" applyBorder="1" applyAlignment="1">
      <alignment horizontal="center" vertical="center"/>
    </xf>
    <xf numFmtId="166" fontId="0" fillId="8" borderId="1" xfId="0" applyNumberFormat="1" applyFill="1" applyBorder="1" applyAlignment="1">
      <alignment horizontal="center" vertical="center"/>
    </xf>
    <xf numFmtId="166" fontId="0" fillId="8" borderId="4" xfId="0" applyNumberFormat="1" applyFill="1" applyBorder="1" applyAlignment="1">
      <alignment horizontal="center" vertical="center"/>
    </xf>
    <xf numFmtId="0" fontId="65" fillId="29" borderId="3" xfId="0" applyFont="1" applyFill="1" applyBorder="1" applyAlignment="1">
      <alignment horizontal="center" vertical="center"/>
    </xf>
    <xf numFmtId="165" fontId="0" fillId="26" borderId="57" xfId="0" applyNumberFormat="1" applyFill="1" applyBorder="1" applyAlignment="1">
      <alignment horizontal="center"/>
    </xf>
    <xf numFmtId="0" fontId="0" fillId="26" borderId="57" xfId="0" applyFill="1" applyBorder="1" applyAlignment="1">
      <alignment horizontal="center"/>
    </xf>
    <xf numFmtId="0" fontId="0" fillId="26" borderId="58" xfId="0" applyFill="1" applyBorder="1" applyAlignment="1">
      <alignment horizontal="center"/>
    </xf>
    <xf numFmtId="172" fontId="0" fillId="26" borderId="31" xfId="0" applyNumberFormat="1" applyFill="1" applyBorder="1" applyAlignment="1">
      <alignment horizontal="center"/>
    </xf>
    <xf numFmtId="0" fontId="1" fillId="26" borderId="9" xfId="0" applyFont="1" applyFill="1" applyBorder="1" applyAlignment="1">
      <alignment horizontal="center"/>
    </xf>
    <xf numFmtId="2" fontId="0" fillId="26" borderId="9" xfId="0" applyNumberFormat="1" applyFill="1" applyBorder="1" applyAlignment="1">
      <alignment horizontal="center"/>
    </xf>
    <xf numFmtId="165" fontId="0" fillId="26" borderId="9" xfId="0" applyNumberFormat="1" applyFill="1" applyBorder="1" applyAlignment="1">
      <alignment horizontal="center"/>
    </xf>
    <xf numFmtId="1" fontId="0" fillId="26" borderId="9" xfId="0" applyNumberFormat="1" applyFill="1" applyBorder="1" applyAlignment="1">
      <alignment horizontal="center"/>
    </xf>
    <xf numFmtId="1" fontId="0" fillId="26" borderId="95" xfId="0" applyNumberFormat="1" applyFill="1" applyBorder="1" applyAlignment="1">
      <alignment horizontal="center"/>
    </xf>
    <xf numFmtId="6" fontId="0" fillId="0" borderId="0" xfId="0" applyNumberFormat="1" applyAlignment="1">
      <alignment horizontal="center"/>
    </xf>
    <xf numFmtId="6" fontId="1" fillId="0" borderId="0" xfId="0" applyNumberFormat="1" applyFont="1" applyAlignment="1">
      <alignment horizontal="center"/>
    </xf>
    <xf numFmtId="6" fontId="1" fillId="0" borderId="27" xfId="0" applyNumberFormat="1" applyFont="1" applyBorder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27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27" xfId="0" applyNumberFormat="1" applyBorder="1" applyAlignment="1">
      <alignment horizontal="center"/>
    </xf>
    <xf numFmtId="0" fontId="14" fillId="9" borderId="26" xfId="0" applyFont="1" applyFill="1" applyBorder="1" applyAlignment="1">
      <alignment horizontal="center"/>
    </xf>
    <xf numFmtId="0" fontId="14" fillId="9" borderId="27" xfId="0" applyFont="1" applyFill="1" applyBorder="1" applyAlignment="1">
      <alignment horizontal="center"/>
    </xf>
    <xf numFmtId="0" fontId="14" fillId="9" borderId="0" xfId="0" applyFont="1" applyFill="1" applyAlignment="1">
      <alignment horizontal="center"/>
    </xf>
    <xf numFmtId="0" fontId="0" fillId="0" borderId="0" xfId="0" quotePrefix="1" applyAlignment="1">
      <alignment horizontal="center"/>
    </xf>
    <xf numFmtId="0" fontId="24" fillId="15" borderId="26" xfId="0" applyFont="1" applyFill="1" applyBorder="1" applyAlignment="1">
      <alignment horizontal="center"/>
    </xf>
    <xf numFmtId="0" fontId="26" fillId="15" borderId="26" xfId="0" applyFont="1" applyFill="1" applyBorder="1" applyAlignment="1">
      <alignment horizontal="center"/>
    </xf>
    <xf numFmtId="0" fontId="26" fillId="15" borderId="59" xfId="0" applyFont="1" applyFill="1" applyBorder="1" applyAlignment="1">
      <alignment horizontal="center"/>
    </xf>
    <xf numFmtId="0" fontId="0" fillId="0" borderId="28" xfId="0" quotePrefix="1" applyBorder="1" applyAlignment="1">
      <alignment horizontal="center"/>
    </xf>
    <xf numFmtId="0" fontId="14" fillId="9" borderId="61" xfId="0" applyFont="1" applyFill="1" applyBorder="1" applyAlignment="1">
      <alignment horizontal="center"/>
    </xf>
    <xf numFmtId="0" fontId="14" fillId="9" borderId="34" xfId="0" applyFont="1" applyFill="1" applyBorder="1" applyAlignment="1">
      <alignment horizontal="center"/>
    </xf>
    <xf numFmtId="0" fontId="66" fillId="26" borderId="12" xfId="0" applyFont="1" applyFill="1" applyBorder="1" applyAlignment="1">
      <alignment horizontal="center"/>
    </xf>
    <xf numFmtId="0" fontId="34" fillId="26" borderId="6" xfId="0" applyFont="1" applyFill="1" applyBorder="1" applyAlignment="1">
      <alignment horizontal="center"/>
    </xf>
    <xf numFmtId="0" fontId="18" fillId="9" borderId="1" xfId="0" applyFont="1" applyFill="1" applyBorder="1"/>
    <xf numFmtId="0" fontId="6" fillId="10" borderId="1" xfId="0" applyFont="1" applyFill="1" applyBorder="1" applyAlignment="1">
      <alignment horizontal="center" wrapText="1"/>
    </xf>
    <xf numFmtId="0" fontId="18" fillId="9" borderId="1" xfId="0" applyFont="1" applyFill="1" applyBorder="1" applyAlignment="1">
      <alignment horizontal="left"/>
    </xf>
    <xf numFmtId="0" fontId="6" fillId="12" borderId="1" xfId="0" applyFont="1" applyFill="1" applyBorder="1" applyAlignment="1">
      <alignment horizontal="center" wrapText="1"/>
    </xf>
    <xf numFmtId="0" fontId="6" fillId="12" borderId="1" xfId="0" applyFont="1" applyFill="1" applyBorder="1" applyAlignment="1">
      <alignment wrapText="1"/>
    </xf>
    <xf numFmtId="44" fontId="0" fillId="7" borderId="0" xfId="1" applyFont="1" applyFill="1" applyBorder="1" applyAlignment="1">
      <alignment horizontal="center"/>
    </xf>
    <xf numFmtId="0" fontId="30" fillId="0" borderId="0" xfId="0" applyFont="1"/>
    <xf numFmtId="0" fontId="18" fillId="9" borderId="14" xfId="0" applyFont="1" applyFill="1" applyBorder="1"/>
    <xf numFmtId="0" fontId="16" fillId="6" borderId="1" xfId="0" applyFont="1" applyFill="1" applyBorder="1" applyAlignment="1">
      <alignment horizontal="center"/>
    </xf>
    <xf numFmtId="0" fontId="19" fillId="12" borderId="0" xfId="0" applyFont="1" applyFill="1"/>
    <xf numFmtId="0" fontId="0" fillId="12" borderId="0" xfId="0" applyFill="1"/>
    <xf numFmtId="0" fontId="6" fillId="12" borderId="0" xfId="0" applyFont="1" applyFill="1"/>
    <xf numFmtId="0" fontId="2" fillId="12" borderId="21" xfId="0" applyFont="1" applyFill="1" applyBorder="1"/>
    <xf numFmtId="0" fontId="0" fillId="12" borderId="1" xfId="0" applyFill="1" applyBorder="1"/>
    <xf numFmtId="0" fontId="1" fillId="12" borderId="21" xfId="0" applyFont="1" applyFill="1" applyBorder="1" applyAlignment="1">
      <alignment horizontal="left"/>
    </xf>
    <xf numFmtId="0" fontId="1" fillId="12" borderId="21" xfId="0" applyFont="1" applyFill="1" applyBorder="1"/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wrapText="1"/>
    </xf>
    <xf numFmtId="0" fontId="6" fillId="12" borderId="1" xfId="0" applyFont="1" applyFill="1" applyBorder="1"/>
    <xf numFmtId="0" fontId="1" fillId="12" borderId="0" xfId="0" applyFont="1" applyFill="1"/>
    <xf numFmtId="0" fontId="1" fillId="12" borderId="0" xfId="0" applyFont="1" applyFill="1" applyAlignment="1">
      <alignment horizontal="center"/>
    </xf>
    <xf numFmtId="0" fontId="6" fillId="12" borderId="1" xfId="0" applyFont="1" applyFill="1" applyBorder="1" applyAlignment="1">
      <alignment horizontal="center" vertical="top"/>
    </xf>
    <xf numFmtId="0" fontId="2" fillId="12" borderId="1" xfId="0" applyFont="1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44" fontId="0" fillId="12" borderId="1" xfId="1" applyFont="1" applyFill="1" applyBorder="1" applyAlignment="1">
      <alignment horizontal="left"/>
    </xf>
    <xf numFmtId="9" fontId="0" fillId="12" borderId="1" xfId="2" applyFont="1" applyFill="1" applyBorder="1"/>
    <xf numFmtId="0" fontId="1" fillId="12" borderId="1" xfId="0" applyFont="1" applyFill="1" applyBorder="1" applyAlignment="1">
      <alignment horizontal="center"/>
    </xf>
    <xf numFmtId="0" fontId="0" fillId="12" borderId="1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left"/>
    </xf>
    <xf numFmtId="9" fontId="0" fillId="12" borderId="0" xfId="2" applyFont="1" applyFill="1"/>
    <xf numFmtId="9" fontId="6" fillId="12" borderId="0" xfId="0" applyNumberFormat="1" applyFont="1" applyFill="1" applyAlignment="1">
      <alignment horizontal="left"/>
    </xf>
    <xf numFmtId="0" fontId="6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9" fontId="0" fillId="12" borderId="0" xfId="2" applyFont="1" applyFill="1" applyAlignment="1">
      <alignment horizontal="left"/>
    </xf>
    <xf numFmtId="0" fontId="6" fillId="12" borderId="15" xfId="0" applyFont="1" applyFill="1" applyBorder="1"/>
    <xf numFmtId="0" fontId="6" fillId="12" borderId="38" xfId="0" applyFont="1" applyFill="1" applyBorder="1"/>
    <xf numFmtId="0" fontId="0" fillId="12" borderId="15" xfId="0" applyFill="1" applyBorder="1" applyAlignment="1">
      <alignment horizontal="center"/>
    </xf>
    <xf numFmtId="44" fontId="0" fillId="12" borderId="38" xfId="1" applyFont="1" applyFill="1" applyBorder="1"/>
    <xf numFmtId="44" fontId="0" fillId="12" borderId="1" xfId="0" applyNumberFormat="1" applyFill="1" applyBorder="1"/>
    <xf numFmtId="0" fontId="0" fillId="12" borderId="15" xfId="0" applyFill="1" applyBorder="1" applyAlignment="1">
      <alignment horizontal="center" wrapText="1"/>
    </xf>
    <xf numFmtId="0" fontId="0" fillId="12" borderId="16" xfId="0" applyFill="1" applyBorder="1" applyAlignment="1">
      <alignment horizontal="center" wrapText="1"/>
    </xf>
    <xf numFmtId="44" fontId="0" fillId="12" borderId="39" xfId="1" applyFont="1" applyFill="1" applyBorder="1"/>
    <xf numFmtId="44" fontId="0" fillId="12" borderId="17" xfId="0" applyNumberFormat="1" applyFill="1" applyBorder="1"/>
    <xf numFmtId="0" fontId="0" fillId="12" borderId="14" xfId="0" applyFill="1" applyBorder="1" applyAlignment="1">
      <alignment horizontal="center"/>
    </xf>
    <xf numFmtId="44" fontId="0" fillId="12" borderId="11" xfId="0" applyNumberFormat="1" applyFill="1" applyBorder="1"/>
    <xf numFmtId="44" fontId="0" fillId="12" borderId="1" xfId="1" applyFont="1" applyFill="1" applyBorder="1"/>
    <xf numFmtId="0" fontId="0" fillId="12" borderId="37" xfId="0" applyFill="1" applyBorder="1" applyAlignment="1">
      <alignment horizontal="center"/>
    </xf>
    <xf numFmtId="44" fontId="0" fillId="12" borderId="40" xfId="1" applyFont="1" applyFill="1" applyBorder="1"/>
    <xf numFmtId="44" fontId="0" fillId="12" borderId="11" xfId="1" applyFont="1" applyFill="1" applyBorder="1"/>
    <xf numFmtId="0" fontId="6" fillId="12" borderId="14" xfId="0" applyFont="1" applyFill="1" applyBorder="1"/>
    <xf numFmtId="0" fontId="0" fillId="12" borderId="10" xfId="0" applyFill="1" applyBorder="1" applyAlignment="1">
      <alignment horizontal="center"/>
    </xf>
    <xf numFmtId="44" fontId="0" fillId="12" borderId="1" xfId="1" applyFont="1" applyFill="1" applyBorder="1" applyAlignment="1">
      <alignment horizontal="center"/>
    </xf>
    <xf numFmtId="44" fontId="0" fillId="12" borderId="12" xfId="0" applyNumberFormat="1" applyFill="1" applyBorder="1"/>
    <xf numFmtId="0" fontId="18" fillId="28" borderId="96" xfId="0" applyFont="1" applyFill="1" applyBorder="1" applyAlignment="1">
      <alignment horizontal="center"/>
    </xf>
    <xf numFmtId="0" fontId="19" fillId="26" borderId="25" xfId="0" applyFont="1" applyFill="1" applyBorder="1" applyAlignment="1">
      <alignment horizontal="center" vertical="center"/>
    </xf>
    <xf numFmtId="9" fontId="32" fillId="7" borderId="0" xfId="2" applyFont="1" applyFill="1" applyBorder="1"/>
    <xf numFmtId="0" fontId="32" fillId="7" borderId="0" xfId="0" quotePrefix="1" applyFont="1" applyFill="1" applyAlignment="1">
      <alignment horizontal="center"/>
    </xf>
    <xf numFmtId="9" fontId="32" fillId="7" borderId="0" xfId="2" applyFont="1" applyFill="1" applyBorder="1" applyAlignment="1">
      <alignment horizontal="left"/>
    </xf>
    <xf numFmtId="0" fontId="34" fillId="7" borderId="0" xfId="0" applyFont="1" applyFill="1"/>
    <xf numFmtId="0" fontId="35" fillId="7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54" fillId="7" borderId="0" xfId="0" quotePrefix="1" applyFont="1" applyFill="1"/>
    <xf numFmtId="0" fontId="34" fillId="7" borderId="0" xfId="0" quotePrefix="1" applyFont="1" applyFill="1"/>
    <xf numFmtId="0" fontId="34" fillId="7" borderId="0" xfId="0" applyFont="1" applyFill="1" applyAlignment="1">
      <alignment wrapText="1"/>
    </xf>
    <xf numFmtId="44" fontId="34" fillId="7" borderId="0" xfId="0" applyNumberFormat="1" applyFont="1" applyFill="1"/>
    <xf numFmtId="0" fontId="0" fillId="7" borderId="0" xfId="0" quotePrefix="1" applyFill="1"/>
    <xf numFmtId="0" fontId="33" fillId="7" borderId="0" xfId="0" applyFont="1" applyFill="1"/>
    <xf numFmtId="0" fontId="32" fillId="7" borderId="0" xfId="0" applyFont="1" applyFill="1" applyAlignment="1">
      <alignment horizontal="center"/>
    </xf>
    <xf numFmtId="9" fontId="32" fillId="7" borderId="0" xfId="0" applyNumberFormat="1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6" fillId="7" borderId="0" xfId="0" applyFont="1" applyFill="1"/>
    <xf numFmtId="0" fontId="16" fillId="7" borderId="0" xfId="0" applyFont="1" applyFill="1" applyAlignment="1">
      <alignment horizontal="center"/>
    </xf>
    <xf numFmtId="0" fontId="1" fillId="7" borderId="0" xfId="0" applyFont="1" applyFill="1"/>
    <xf numFmtId="0" fontId="1" fillId="7" borderId="0" xfId="0" applyFont="1" applyFill="1" applyAlignment="1">
      <alignment horizontal="center"/>
    </xf>
    <xf numFmtId="0" fontId="1" fillId="7" borderId="28" xfId="0" applyFont="1" applyFill="1" applyBorder="1"/>
    <xf numFmtId="44" fontId="0" fillId="7" borderId="28" xfId="1" applyFont="1" applyFill="1" applyBorder="1" applyAlignment="1">
      <alignment horizontal="center"/>
    </xf>
    <xf numFmtId="0" fontId="1" fillId="7" borderId="28" xfId="0" applyFont="1" applyFill="1" applyBorder="1" applyAlignment="1">
      <alignment horizontal="center"/>
    </xf>
    <xf numFmtId="164" fontId="27" fillId="8" borderId="27" xfId="0" applyNumberFormat="1" applyFont="1" applyFill="1" applyBorder="1"/>
    <xf numFmtId="0" fontId="22" fillId="9" borderId="0" xfId="0" applyFont="1" applyFill="1"/>
    <xf numFmtId="0" fontId="18" fillId="9" borderId="0" xfId="0" applyFont="1" applyFill="1"/>
    <xf numFmtId="0" fontId="69" fillId="16" borderId="0" xfId="0" applyFont="1" applyFill="1"/>
    <xf numFmtId="6" fontId="6" fillId="0" borderId="0" xfId="0" applyNumberFormat="1" applyFont="1"/>
    <xf numFmtId="6" fontId="0" fillId="0" borderId="0" xfId="0" applyNumberFormat="1"/>
    <xf numFmtId="0" fontId="57" fillId="8" borderId="26" xfId="0" applyFont="1" applyFill="1" applyBorder="1" applyAlignment="1">
      <alignment vertical="center"/>
    </xf>
    <xf numFmtId="166" fontId="6" fillId="8" borderId="0" xfId="0" applyNumberFormat="1" applyFont="1" applyFill="1"/>
    <xf numFmtId="166" fontId="0" fillId="8" borderId="0" xfId="0" applyNumberFormat="1" applyFill="1"/>
    <xf numFmtId="164" fontId="0" fillId="8" borderId="0" xfId="0" applyNumberFormat="1" applyFill="1"/>
    <xf numFmtId="164" fontId="27" fillId="8" borderId="0" xfId="0" applyNumberFormat="1" applyFont="1" applyFill="1"/>
    <xf numFmtId="0" fontId="0" fillId="8" borderId="0" xfId="0" applyFill="1"/>
    <xf numFmtId="0" fontId="54" fillId="8" borderId="0" xfId="0" applyFont="1" applyFill="1"/>
    <xf numFmtId="0" fontId="57" fillId="8" borderId="0" xfId="0" applyFont="1" applyFill="1" applyAlignment="1">
      <alignment vertical="center"/>
    </xf>
    <xf numFmtId="0" fontId="18" fillId="9" borderId="22" xfId="0" applyFont="1" applyFill="1" applyBorder="1" applyAlignment="1">
      <alignment horizontal="center"/>
    </xf>
    <xf numFmtId="0" fontId="67" fillId="6" borderId="0" xfId="0" applyFont="1" applyFill="1" applyAlignment="1">
      <alignment horizontal="center" wrapText="1"/>
    </xf>
    <xf numFmtId="0" fontId="67" fillId="6" borderId="0" xfId="0" applyFont="1" applyFill="1" applyAlignment="1">
      <alignment horizontal="center"/>
    </xf>
    <xf numFmtId="0" fontId="36" fillId="27" borderId="64" xfId="0" applyFont="1" applyFill="1" applyBorder="1" applyAlignment="1">
      <alignment horizontal="center" vertical="center"/>
    </xf>
    <xf numFmtId="0" fontId="36" fillId="27" borderId="60" xfId="0" applyFont="1" applyFill="1" applyBorder="1" applyAlignment="1">
      <alignment horizontal="center" vertical="center"/>
    </xf>
    <xf numFmtId="0" fontId="36" fillId="27" borderId="61" xfId="0" applyFont="1" applyFill="1" applyBorder="1" applyAlignment="1">
      <alignment horizontal="center" vertical="center"/>
    </xf>
    <xf numFmtId="0" fontId="60" fillId="28" borderId="64" xfId="0" applyFont="1" applyFill="1" applyBorder="1" applyAlignment="1">
      <alignment horizontal="center" vertical="center"/>
    </xf>
    <xf numFmtId="0" fontId="60" fillId="28" borderId="60" xfId="0" applyFont="1" applyFill="1" applyBorder="1" applyAlignment="1">
      <alignment horizontal="center" vertical="center"/>
    </xf>
    <xf numFmtId="0" fontId="60" fillId="28" borderId="61" xfId="0" applyFont="1" applyFill="1" applyBorder="1" applyAlignment="1">
      <alignment horizontal="center" vertical="center"/>
    </xf>
    <xf numFmtId="0" fontId="31" fillId="21" borderId="14" xfId="0" applyFont="1" applyFill="1" applyBorder="1" applyAlignment="1">
      <alignment horizontal="left"/>
    </xf>
    <xf numFmtId="0" fontId="31" fillId="21" borderId="11" xfId="0" applyFont="1" applyFill="1" applyBorder="1" applyAlignment="1">
      <alignment horizontal="left"/>
    </xf>
    <xf numFmtId="0" fontId="56" fillId="7" borderId="30" xfId="0" applyFont="1" applyFill="1" applyBorder="1" applyAlignment="1">
      <alignment horizontal="center" vertical="center"/>
    </xf>
    <xf numFmtId="0" fontId="56" fillId="7" borderId="57" xfId="0" applyFont="1" applyFill="1" applyBorder="1" applyAlignment="1">
      <alignment horizontal="center" vertical="center"/>
    </xf>
    <xf numFmtId="0" fontId="56" fillId="7" borderId="59" xfId="0" applyFont="1" applyFill="1" applyBorder="1" applyAlignment="1">
      <alignment horizontal="center" vertical="center"/>
    </xf>
    <xf numFmtId="0" fontId="56" fillId="7" borderId="28" xfId="0" applyFont="1" applyFill="1" applyBorder="1" applyAlignment="1">
      <alignment horizontal="center" vertical="center"/>
    </xf>
    <xf numFmtId="0" fontId="31" fillId="21" borderId="81" xfId="0" applyFont="1" applyFill="1" applyBorder="1" applyAlignment="1">
      <alignment horizontal="left" vertical="center"/>
    </xf>
    <xf numFmtId="0" fontId="31" fillId="21" borderId="19" xfId="0" applyFont="1" applyFill="1" applyBorder="1" applyAlignment="1">
      <alignment horizontal="left" vertical="center"/>
    </xf>
    <xf numFmtId="0" fontId="31" fillId="21" borderId="82" xfId="0" applyFont="1" applyFill="1" applyBorder="1" applyAlignment="1">
      <alignment horizontal="left" vertical="center"/>
    </xf>
    <xf numFmtId="0" fontId="57" fillId="7" borderId="30" xfId="0" applyFont="1" applyFill="1" applyBorder="1" applyAlignment="1">
      <alignment horizontal="center" vertical="center"/>
    </xf>
    <xf numFmtId="0" fontId="57" fillId="7" borderId="57" xfId="0" applyFont="1" applyFill="1" applyBorder="1" applyAlignment="1">
      <alignment horizontal="center" vertical="center"/>
    </xf>
    <xf numFmtId="0" fontId="56" fillId="13" borderId="30" xfId="0" applyFont="1" applyFill="1" applyBorder="1" applyAlignment="1">
      <alignment horizontal="center" vertical="center"/>
    </xf>
    <xf numFmtId="0" fontId="56" fillId="13" borderId="57" xfId="0" applyFont="1" applyFill="1" applyBorder="1" applyAlignment="1">
      <alignment horizontal="center" vertical="center"/>
    </xf>
    <xf numFmtId="0" fontId="56" fillId="13" borderId="58" xfId="0" applyFont="1" applyFill="1" applyBorder="1" applyAlignment="1">
      <alignment horizontal="center" vertical="center"/>
    </xf>
    <xf numFmtId="0" fontId="56" fillId="13" borderId="26" xfId="0" applyFont="1" applyFill="1" applyBorder="1" applyAlignment="1">
      <alignment horizontal="center" vertical="center"/>
    </xf>
    <xf numFmtId="0" fontId="56" fillId="13" borderId="0" xfId="0" applyFont="1" applyFill="1" applyAlignment="1">
      <alignment horizontal="center" vertical="center"/>
    </xf>
    <xf numFmtId="0" fontId="56" fillId="13" borderId="27" xfId="0" applyFont="1" applyFill="1" applyBorder="1" applyAlignment="1">
      <alignment horizontal="center" vertical="center"/>
    </xf>
    <xf numFmtId="0" fontId="57" fillId="13" borderId="26" xfId="0" applyFont="1" applyFill="1" applyBorder="1" applyAlignment="1">
      <alignment horizontal="center"/>
    </xf>
    <xf numFmtId="0" fontId="57" fillId="13" borderId="0" xfId="0" applyFont="1" applyFill="1" applyAlignment="1">
      <alignment horizontal="center"/>
    </xf>
    <xf numFmtId="0" fontId="56" fillId="26" borderId="60" xfId="0" applyFont="1" applyFill="1" applyBorder="1" applyAlignment="1">
      <alignment horizontal="center"/>
    </xf>
    <xf numFmtId="0" fontId="56" fillId="7" borderId="58" xfId="0" applyFont="1" applyFill="1" applyBorder="1" applyAlignment="1">
      <alignment horizontal="center" vertical="center"/>
    </xf>
    <xf numFmtId="0" fontId="56" fillId="7" borderId="25" xfId="0" applyFont="1" applyFill="1" applyBorder="1" applyAlignment="1">
      <alignment horizontal="center" vertical="center"/>
    </xf>
    <xf numFmtId="0" fontId="57" fillId="7" borderId="26" xfId="0" applyFont="1" applyFill="1" applyBorder="1" applyAlignment="1">
      <alignment horizontal="center" vertical="center"/>
    </xf>
    <xf numFmtId="0" fontId="57" fillId="7" borderId="0" xfId="0" applyFont="1" applyFill="1" applyAlignment="1">
      <alignment horizontal="center" vertical="center"/>
    </xf>
    <xf numFmtId="0" fontId="57" fillId="7" borderId="27" xfId="0" applyFont="1" applyFill="1" applyBorder="1" applyAlignment="1">
      <alignment horizontal="center" vertical="center"/>
    </xf>
    <xf numFmtId="0" fontId="31" fillId="7" borderId="40" xfId="0" applyFont="1" applyFill="1" applyBorder="1" applyAlignment="1">
      <alignment horizontal="center"/>
    </xf>
    <xf numFmtId="0" fontId="31" fillId="7" borderId="85" xfId="0" applyFont="1" applyFill="1" applyBorder="1" applyAlignment="1">
      <alignment horizontal="center"/>
    </xf>
    <xf numFmtId="0" fontId="56" fillId="8" borderId="64" xfId="0" applyFont="1" applyFill="1" applyBorder="1" applyAlignment="1">
      <alignment horizontal="center"/>
    </xf>
    <xf numFmtId="0" fontId="56" fillId="8" borderId="60" xfId="0" applyFont="1" applyFill="1" applyBorder="1" applyAlignment="1">
      <alignment horizontal="center"/>
    </xf>
    <xf numFmtId="0" fontId="56" fillId="8" borderId="61" xfId="0" applyFont="1" applyFill="1" applyBorder="1" applyAlignment="1">
      <alignment horizontal="center"/>
    </xf>
    <xf numFmtId="0" fontId="59" fillId="8" borderId="64" xfId="0" applyFont="1" applyFill="1" applyBorder="1" applyAlignment="1">
      <alignment horizontal="center"/>
    </xf>
    <xf numFmtId="0" fontId="59" fillId="8" borderId="60" xfId="0" applyFont="1" applyFill="1" applyBorder="1" applyAlignment="1">
      <alignment horizontal="center"/>
    </xf>
    <xf numFmtId="0" fontId="59" fillId="8" borderId="61" xfId="0" applyFont="1" applyFill="1" applyBorder="1" applyAlignment="1">
      <alignment horizontal="center"/>
    </xf>
    <xf numFmtId="0" fontId="57" fillId="8" borderId="26" xfId="0" applyFont="1" applyFill="1" applyBorder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57" fillId="26" borderId="0" xfId="0" applyFont="1" applyFill="1" applyAlignment="1">
      <alignment horizontal="center" vertical="center"/>
    </xf>
    <xf numFmtId="0" fontId="57" fillId="26" borderId="28" xfId="0" applyFont="1" applyFill="1" applyBorder="1" applyAlignment="1">
      <alignment horizontal="center" vertical="center"/>
    </xf>
    <xf numFmtId="6" fontId="19" fillId="26" borderId="65" xfId="0" applyNumberFormat="1" applyFont="1" applyFill="1" applyBorder="1" applyAlignment="1">
      <alignment horizontal="center" vertical="center"/>
    </xf>
    <xf numFmtId="0" fontId="19" fillId="26" borderId="66" xfId="0" applyFont="1" applyFill="1" applyBorder="1" applyAlignment="1">
      <alignment horizontal="center" vertical="center"/>
    </xf>
    <xf numFmtId="0" fontId="60" fillId="28" borderId="30" xfId="0" applyFont="1" applyFill="1" applyBorder="1" applyAlignment="1">
      <alignment horizontal="center" vertical="center"/>
    </xf>
    <xf numFmtId="0" fontId="60" fillId="28" borderId="58" xfId="0" applyFont="1" applyFill="1" applyBorder="1" applyAlignment="1">
      <alignment horizontal="center" vertical="center"/>
    </xf>
    <xf numFmtId="0" fontId="60" fillId="28" borderId="93" xfId="0" applyFont="1" applyFill="1" applyBorder="1" applyAlignment="1">
      <alignment horizontal="center" vertical="center"/>
    </xf>
    <xf numFmtId="0" fontId="60" fillId="28" borderId="9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8" fillId="21" borderId="22" xfId="0" applyFont="1" applyFill="1" applyBorder="1" applyAlignment="1">
      <alignment horizontal="center"/>
    </xf>
    <xf numFmtId="0" fontId="25" fillId="9" borderId="26" xfId="0" applyFont="1" applyFill="1" applyBorder="1" applyAlignment="1">
      <alignment horizontal="left"/>
    </xf>
    <xf numFmtId="0" fontId="25" fillId="9" borderId="0" xfId="0" applyFont="1" applyFill="1" applyAlignment="1">
      <alignment horizontal="left"/>
    </xf>
    <xf numFmtId="0" fontId="25" fillId="9" borderId="27" xfId="0" applyFont="1" applyFill="1" applyBorder="1" applyAlignment="1">
      <alignment horizontal="left"/>
    </xf>
    <xf numFmtId="0" fontId="14" fillId="9" borderId="30" xfId="0" applyFont="1" applyFill="1" applyBorder="1" applyAlignment="1">
      <alignment horizontal="center"/>
    </xf>
    <xf numFmtId="0" fontId="14" fillId="9" borderId="60" xfId="0" applyFont="1" applyFill="1" applyBorder="1" applyAlignment="1">
      <alignment horizontal="center"/>
    </xf>
    <xf numFmtId="0" fontId="14" fillId="9" borderId="61" xfId="0" applyFont="1" applyFill="1" applyBorder="1" applyAlignment="1">
      <alignment horizontal="center"/>
    </xf>
    <xf numFmtId="0" fontId="25" fillId="9" borderId="30" xfId="0" applyFont="1" applyFill="1" applyBorder="1" applyAlignment="1">
      <alignment horizontal="center"/>
    </xf>
    <xf numFmtId="0" fontId="25" fillId="9" borderId="57" xfId="0" applyFont="1" applyFill="1" applyBorder="1" applyAlignment="1">
      <alignment horizontal="center"/>
    </xf>
    <xf numFmtId="0" fontId="25" fillId="9" borderId="58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4"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gray125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050"/>
              <a:t>Ratio of Male:</a:t>
            </a:r>
            <a:r>
              <a:rPr lang="en-SG" sz="1050" baseline="0"/>
              <a:t>Female Students</a:t>
            </a:r>
            <a:endParaRPr lang="en-SG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BD-4F52-8C72-FB4B2CDA3C4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BD-4F52-8C72-FB4B2CDA3C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'[1]Student Demographics'!$A$3:$A$4</c:f>
              <c:strCache>
                <c:ptCount val="2"/>
                <c:pt idx="0">
                  <c:v>Total Male Students</c:v>
                </c:pt>
                <c:pt idx="1">
                  <c:v>Total Female Students</c:v>
                </c:pt>
              </c:strCache>
            </c:strRef>
          </c:cat>
          <c:val>
            <c:numRef>
              <c:f>'[1]Student Demographics'!$C$3:$C$4</c:f>
              <c:numCache>
                <c:formatCode>General</c:formatCode>
                <c:ptCount val="2"/>
                <c:pt idx="0">
                  <c:v>6.9984447900466568E-2</c:v>
                </c:pt>
                <c:pt idx="1">
                  <c:v>0.92923794712286156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BD-4F52-8C72-FB4B2CDA3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number of pole dance retailers in Singapore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Number of retailers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'[1]List of Pole Retailers'!$D$2:$D$10</c:f>
              <c:numCache>
                <c:formatCode>General</c:formatCode>
                <c:ptCount val="9"/>
                <c:pt idx="0">
                  <c:v>2003</c:v>
                </c:pt>
                <c:pt idx="1">
                  <c:v>2012</c:v>
                </c:pt>
                <c:pt idx="2">
                  <c:v>2014</c:v>
                </c:pt>
                <c:pt idx="3">
                  <c:v>2015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xVal>
          <c:yVal>
            <c:numRef>
              <c:f>'[1]List of Pole Retailers'!$F$2:$F$10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9</c:v>
                </c:pt>
                <c:pt idx="5">
                  <c:v>10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4C-4ADF-8BA1-259839787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06920"/>
        <c:axId val="135214600"/>
      </c:scatterChart>
      <c:valAx>
        <c:axId val="13520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14600"/>
        <c:crosses val="autoZero"/>
        <c:crossBetween val="midCat"/>
      </c:valAx>
      <c:valAx>
        <c:axId val="13521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06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400" b="1" i="1"/>
              <a:t>Number of classes run a term</a:t>
            </a:r>
            <a:r>
              <a:rPr lang="en-SG" sz="1400" b="1" i="1" baseline="0"/>
              <a:t> in 2022</a:t>
            </a:r>
          </a:p>
        </c:rich>
      </c:tx>
      <c:layout>
        <c:manualLayout>
          <c:xMode val="edge"/>
          <c:yMode val="edge"/>
          <c:x val="0.25783519371777708"/>
          <c:y val="3.58095867167325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'Ref - Studio Capacity'!$J$99:$J$103</c:f>
              <c:strCache>
                <c:ptCount val="5"/>
                <c:pt idx="0">
                  <c:v>No of Jan term classes</c:v>
                </c:pt>
                <c:pt idx="1">
                  <c:v>No of May term classes</c:v>
                </c:pt>
                <c:pt idx="2">
                  <c:v>No of Jul term classes</c:v>
                </c:pt>
                <c:pt idx="3">
                  <c:v>No of Aug term classes</c:v>
                </c:pt>
                <c:pt idx="4">
                  <c:v>No of Oct  term classes</c:v>
                </c:pt>
              </c:strCache>
            </c:strRef>
          </c:cat>
          <c:val>
            <c:numRef>
              <c:f>'Ref - Studio Capacity'!$K$99:$K$103</c:f>
              <c:numCache>
                <c:formatCode>General</c:formatCode>
                <c:ptCount val="5"/>
                <c:pt idx="0">
                  <c:v>26</c:v>
                </c:pt>
                <c:pt idx="1">
                  <c:v>19</c:v>
                </c:pt>
                <c:pt idx="2">
                  <c:v>19</c:v>
                </c:pt>
                <c:pt idx="3">
                  <c:v>23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8-4D01-AF8B-E59A499D94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63376560"/>
        <c:axId val="451207264"/>
      </c:barChart>
      <c:catAx>
        <c:axId val="26337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07264"/>
        <c:crosses val="autoZero"/>
        <c:auto val="1"/>
        <c:lblAlgn val="ctr"/>
        <c:lblOffset val="100"/>
        <c:noMultiLvlLbl val="0"/>
      </c:catAx>
      <c:valAx>
        <c:axId val="451207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376560"/>
        <c:crosses val="autoZero"/>
        <c:crossBetween val="between"/>
      </c:valAx>
      <c:spPr>
        <a:noFill/>
        <a:ln w="15875">
          <a:solidFill>
            <a:schemeClr val="tx1">
              <a:alpha val="97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="1">
                <a:solidFill>
                  <a:sysClr val="windowText" lastClr="000000"/>
                </a:solidFill>
              </a:rPr>
              <a:t>Pole Tricks Price-Enrolment</a:t>
            </a:r>
            <a:r>
              <a:rPr lang="en-SG" b="1" baseline="0">
                <a:solidFill>
                  <a:sysClr val="windowText" lastClr="000000"/>
                </a:solidFill>
              </a:rPr>
              <a:t> Trendline</a:t>
            </a:r>
            <a:endParaRPr lang="en-SG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'1. Pricing Model '!$B$22:$B$25</c:f>
              <c:strCache>
                <c:ptCount val="4"/>
                <c:pt idx="0">
                  <c:v>Tricks - Beginner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6.2250109169967576E-4"/>
                  <c:y val="-0.152981987549532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'!$D$22:$D$25</c:f>
              <c:numCache>
                <c:formatCode>_("$"* #,##0.00_);_("$"* \(#,##0.00\);_("$"* "-"??_);_(@_)</c:formatCode>
                <c:ptCount val="4"/>
                <c:pt idx="0">
                  <c:v>200</c:v>
                </c:pt>
                <c:pt idx="1">
                  <c:v>190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'!$E$22:$E$25</c:f>
              <c:numCache>
                <c:formatCode>0%</c:formatCode>
                <c:ptCount val="4"/>
                <c:pt idx="0">
                  <c:v>0.6</c:v>
                </c:pt>
                <c:pt idx="1">
                  <c:v>0.9</c:v>
                </c:pt>
                <c:pt idx="2">
                  <c:v>0.7</c:v>
                </c:pt>
                <c:pt idx="3">
                  <c:v>0.54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0-482B-8CA4-7E522C3B88BF}"/>
            </c:ext>
          </c:extLst>
        </c:ser>
        <c:ser>
          <c:idx val="1"/>
          <c:order val="1"/>
          <c:tx>
            <c:strRef>
              <c:f>'1. Pricing Model '!$B$26:$B$29</c:f>
              <c:strCache>
                <c:ptCount val="4"/>
                <c:pt idx="0">
                  <c:v>Tricks - Intermediate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7046250754530015"/>
                  <c:y val="-2.36055230858036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'!$D$26:$D$29</c:f>
              <c:numCache>
                <c:formatCode>_("$"* #,##0.00_);_("$"* \(#,##0.00\);_("$"* "-"??_);_(@_)</c:formatCode>
                <c:ptCount val="4"/>
                <c:pt idx="0">
                  <c:v>230</c:v>
                </c:pt>
                <c:pt idx="1">
                  <c:v>230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'!$E$26:$E$29</c:f>
              <c:numCache>
                <c:formatCode>0%</c:formatCode>
                <c:ptCount val="4"/>
                <c:pt idx="0">
                  <c:v>0.6</c:v>
                </c:pt>
                <c:pt idx="1">
                  <c:v>0.6</c:v>
                </c:pt>
                <c:pt idx="2">
                  <c:v>0.53</c:v>
                </c:pt>
                <c:pt idx="3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E0-482B-8CA4-7E522C3B88BF}"/>
            </c:ext>
          </c:extLst>
        </c:ser>
        <c:ser>
          <c:idx val="2"/>
          <c:order val="2"/>
          <c:tx>
            <c:strRef>
              <c:f>'1. Pricing Model '!$B$30:$B$33</c:f>
              <c:strCache>
                <c:ptCount val="4"/>
                <c:pt idx="0">
                  <c:v>Tricks - Advanced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'!$D$30:$D$33</c:f>
              <c:numCache>
                <c:formatCode>_("$"* #,##0.00_);_("$"* \(#,##0.00\);_("$"* "-"??_);_(@_)</c:formatCode>
                <c:ptCount val="4"/>
                <c:pt idx="0">
                  <c:v>250</c:v>
                </c:pt>
                <c:pt idx="1">
                  <c:v>250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'!$E$30:$E$33</c:f>
              <c:numCache>
                <c:formatCode>0%</c:formatCode>
                <c:ptCount val="4"/>
                <c:pt idx="0">
                  <c:v>0.5</c:v>
                </c:pt>
                <c:pt idx="1">
                  <c:v>0.6</c:v>
                </c:pt>
                <c:pt idx="2">
                  <c:v>0.3</c:v>
                </c:pt>
                <c:pt idx="3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E0-482B-8CA4-7E522C3B8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75039"/>
        <c:axId val="414275871"/>
      </c:scatterChart>
      <c:valAx>
        <c:axId val="414275039"/>
        <c:scaling>
          <c:orientation val="minMax"/>
          <c:min val="1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871"/>
        <c:crosses val="autoZero"/>
        <c:crossBetween val="midCat"/>
      </c:valAx>
      <c:valAx>
        <c:axId val="414275871"/>
        <c:scaling>
          <c:orientation val="minMax"/>
          <c:min val="0.2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Enrolment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="1">
                <a:solidFill>
                  <a:sysClr val="windowText" lastClr="000000"/>
                </a:solidFill>
              </a:rPr>
              <a:t>Choreography</a:t>
            </a:r>
            <a:r>
              <a:rPr lang="en-SG" b="1" baseline="0">
                <a:solidFill>
                  <a:sysClr val="windowText" lastClr="000000"/>
                </a:solidFill>
              </a:rPr>
              <a:t> </a:t>
            </a:r>
            <a:r>
              <a:rPr lang="en-SG" b="1">
                <a:solidFill>
                  <a:sysClr val="windowText" lastClr="000000"/>
                </a:solidFill>
              </a:rPr>
              <a:t>Price-Enrolment</a:t>
            </a:r>
            <a:r>
              <a:rPr lang="en-SG" b="1" baseline="0">
                <a:solidFill>
                  <a:sysClr val="windowText" lastClr="000000"/>
                </a:solidFill>
              </a:rPr>
              <a:t> Trendline</a:t>
            </a:r>
            <a:endParaRPr lang="en-SG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'1. Pricing Model '!$B$34:$B$37</c:f>
              <c:strCache>
                <c:ptCount val="4"/>
                <c:pt idx="0">
                  <c:v>Choreography - Beginner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9121135159983284E-2"/>
                  <c:y val="-0.227993946111470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'!$D$34:$D$37</c:f>
              <c:numCache>
                <c:formatCode>_("$"* #,##0.00_);_("$"* \(#,##0.00\);_("$"* "-"??_);_(@_)</c:formatCode>
                <c:ptCount val="4"/>
                <c:pt idx="0">
                  <c:v>278</c:v>
                </c:pt>
                <c:pt idx="1">
                  <c:v>240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'!$E$34:$E$37</c:f>
              <c:numCache>
                <c:formatCode>0%</c:formatCode>
                <c:ptCount val="4"/>
                <c:pt idx="0">
                  <c:v>0.55000000000000004</c:v>
                </c:pt>
                <c:pt idx="1">
                  <c:v>0.8</c:v>
                </c:pt>
                <c:pt idx="2">
                  <c:v>0.65</c:v>
                </c:pt>
                <c:pt idx="3">
                  <c:v>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45-4E6F-9450-F9BDCC819563}"/>
            </c:ext>
          </c:extLst>
        </c:ser>
        <c:ser>
          <c:idx val="1"/>
          <c:order val="1"/>
          <c:tx>
            <c:strRef>
              <c:f>'1. Pricing Model '!$B$38:$B$41</c:f>
              <c:strCache>
                <c:ptCount val="4"/>
                <c:pt idx="0">
                  <c:v>Choreography - Intermediate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9577003876242707"/>
                  <c:y val="-3.7423809251426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'!$D$38:$D$41</c:f>
              <c:numCache>
                <c:formatCode>_("$"* #,##0.00_);_("$"* \(#,##0.00\);_("$"* "-"??_);_(@_)</c:formatCode>
                <c:ptCount val="4"/>
                <c:pt idx="0">
                  <c:v>278</c:v>
                </c:pt>
                <c:pt idx="1">
                  <c:v>240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'!$E$38:$E$41</c:f>
              <c:numCache>
                <c:formatCode>0%</c:formatCode>
                <c:ptCount val="4"/>
                <c:pt idx="0">
                  <c:v>0.65</c:v>
                </c:pt>
                <c:pt idx="1">
                  <c:v>0.7</c:v>
                </c:pt>
                <c:pt idx="2">
                  <c:v>0.55000000000000004</c:v>
                </c:pt>
                <c:pt idx="3">
                  <c:v>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45-4E6F-9450-F9BDCC819563}"/>
            </c:ext>
          </c:extLst>
        </c:ser>
        <c:ser>
          <c:idx val="2"/>
          <c:order val="2"/>
          <c:tx>
            <c:strRef>
              <c:f>'1. Pricing Model '!$B$42:$B$45</c:f>
              <c:strCache>
                <c:ptCount val="4"/>
                <c:pt idx="0">
                  <c:v>Choreography - Advanced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5918752232949004"/>
                  <c:y val="0.230911166344869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'!$D$42:$D$45</c:f>
              <c:numCache>
                <c:formatCode>_("$"* #,##0.00_);_("$"* \(#,##0.00\);_("$"* "-"??_);_(@_)</c:formatCode>
                <c:ptCount val="4"/>
                <c:pt idx="0">
                  <c:v>278</c:v>
                </c:pt>
                <c:pt idx="1">
                  <c:v>240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'!$E$42:$E$45</c:f>
              <c:numCache>
                <c:formatCode>0%</c:formatCode>
                <c:ptCount val="4"/>
                <c:pt idx="0">
                  <c:v>0.7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C45-4E6F-9450-F9BDCC819563}"/>
            </c:ext>
          </c:extLst>
        </c:ser>
        <c:ser>
          <c:idx val="3"/>
          <c:order val="3"/>
          <c:tx>
            <c:strRef>
              <c:f>'1. Pricing Model '!$B$46:$B$49</c:f>
              <c:strCache>
                <c:ptCount val="4"/>
                <c:pt idx="0">
                  <c:v>Choreography - 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51510178962884E-2"/>
                  <c:y val="0.128708807170267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'!$D$46:$D$49</c:f>
              <c:numCache>
                <c:formatCode>_("$"* #,##0.00_);_("$"* \(#,##0.00\);_("$"* "-"??_);_(@_)</c:formatCode>
                <c:ptCount val="4"/>
                <c:pt idx="0">
                  <c:v>278</c:v>
                </c:pt>
                <c:pt idx="1">
                  <c:v>240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'!$E$46:$E$49</c:f>
              <c:numCache>
                <c:formatCode>0%</c:formatCode>
                <c:ptCount val="4"/>
                <c:pt idx="0">
                  <c:v>0.55000000000000004</c:v>
                </c:pt>
                <c:pt idx="1">
                  <c:v>0.7</c:v>
                </c:pt>
                <c:pt idx="2">
                  <c:v>0.7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C45-4E6F-9450-F9BDCC81956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'1. Pricing Model '!$D$34:$D$37</c:f>
              <c:numCache>
                <c:formatCode>_("$"* #,##0.00_);_("$"* \(#,##0.00\);_("$"* "-"??_);_(@_)</c:formatCode>
                <c:ptCount val="4"/>
                <c:pt idx="0">
                  <c:v>278</c:v>
                </c:pt>
                <c:pt idx="1">
                  <c:v>240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'!$F$30</c:f>
              <c:numCache>
                <c:formatCode>General</c:formatCode>
                <c:ptCount val="1"/>
                <c:pt idx="0">
                  <c:v>-1.2499999999999995E-2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C45-4E6F-9450-F9BDCC819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75039"/>
        <c:axId val="414275871"/>
      </c:scatterChart>
      <c:valAx>
        <c:axId val="414275039"/>
        <c:scaling>
          <c:orientation val="minMax"/>
          <c:min val="2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871"/>
        <c:crosses val="autoZero"/>
        <c:crossBetween val="midCat"/>
      </c:valAx>
      <c:valAx>
        <c:axId val="414275871"/>
        <c:scaling>
          <c:orientation val="minMax"/>
          <c:min val="0.2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Enrolment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9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="1" i="1">
                <a:solidFill>
                  <a:sysClr val="windowText" lastClr="000000"/>
                </a:solidFill>
              </a:rPr>
              <a:t>Profit against different class prices for different enrolment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60%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'1. Pricing Model '!$C$91:$H$91</c:f>
              <c:numCache>
                <c:formatCode>_("$"* #,##0.00_);_("$"* \(#,##0.00\);_("$"* "-"??_);_(@_)</c:formatCode>
                <c:ptCount val="6"/>
                <c:pt idx="0">
                  <c:v>54845.151313969574</c:v>
                </c:pt>
                <c:pt idx="1">
                  <c:v>55685.151313969574</c:v>
                </c:pt>
                <c:pt idx="2">
                  <c:v>56525.151313969574</c:v>
                </c:pt>
                <c:pt idx="3">
                  <c:v>57365.151313969574</c:v>
                </c:pt>
                <c:pt idx="4">
                  <c:v>58205.151313969574</c:v>
                </c:pt>
                <c:pt idx="5">
                  <c:v>59045.151313969574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'1. Pricing Model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2AE-4AFF-8553-02C1D4D64661}"/>
            </c:ext>
          </c:extLst>
        </c:ser>
        <c:ser>
          <c:idx val="1"/>
          <c:order val="1"/>
          <c:tx>
            <c:strRef>
              <c:f>'1. Pricing Model '!$B$92</c:f>
              <c:strCache>
                <c:ptCount val="1"/>
                <c:pt idx="0">
                  <c:v>70%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'1. Pricing Model '!$C$92:$H$92</c:f>
              <c:numCache>
                <c:formatCode>_("$"* #,##0.00_);_("$"* \(#,##0.00\);_("$"* "-"??_);_(@_)</c:formatCode>
                <c:ptCount val="6"/>
                <c:pt idx="0">
                  <c:v>58345.151313969574</c:v>
                </c:pt>
                <c:pt idx="1">
                  <c:v>59325.151313969574</c:v>
                </c:pt>
                <c:pt idx="2">
                  <c:v>60305.151313969574</c:v>
                </c:pt>
                <c:pt idx="3">
                  <c:v>61285.151313969574</c:v>
                </c:pt>
                <c:pt idx="4">
                  <c:v>62265.151313969574</c:v>
                </c:pt>
                <c:pt idx="5">
                  <c:v>63245.151313969574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'1. Pricing Model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2AE-4AFF-8553-02C1D4D64661}"/>
            </c:ext>
          </c:extLst>
        </c:ser>
        <c:ser>
          <c:idx val="2"/>
          <c:order val="2"/>
          <c:tx>
            <c:v>80%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'1. Pricing Model '!$C$93:$H$93</c:f>
              <c:numCache>
                <c:formatCode>_("$"* #,##0.00_);_("$"* \(#,##0.00\);_("$"* "-"??_);_(@_)</c:formatCode>
                <c:ptCount val="6"/>
                <c:pt idx="0">
                  <c:v>61845.151313969574</c:v>
                </c:pt>
                <c:pt idx="1">
                  <c:v>62965.151313969574</c:v>
                </c:pt>
                <c:pt idx="2">
                  <c:v>64085.151313969574</c:v>
                </c:pt>
                <c:pt idx="3">
                  <c:v>65205.151313969574</c:v>
                </c:pt>
                <c:pt idx="4">
                  <c:v>66325.151313969574</c:v>
                </c:pt>
                <c:pt idx="5">
                  <c:v>67445.151313969574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'1. Pricing Model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E2AE-4AFF-8553-02C1D4D64661}"/>
            </c:ext>
          </c:extLst>
        </c:ser>
        <c:ser>
          <c:idx val="3"/>
          <c:order val="3"/>
          <c:tx>
            <c:v>90%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'1. Pricing Model '!$C$94:$H$94</c:f>
              <c:numCache>
                <c:formatCode>_("$"* #,##0.00_);_("$"* \(#,##0.00\);_("$"* "-"??_);_(@_)</c:formatCode>
                <c:ptCount val="6"/>
                <c:pt idx="0">
                  <c:v>65345.151313969574</c:v>
                </c:pt>
                <c:pt idx="1">
                  <c:v>66605.151313969574</c:v>
                </c:pt>
                <c:pt idx="2">
                  <c:v>67865.151313969574</c:v>
                </c:pt>
                <c:pt idx="3">
                  <c:v>69125.151313969545</c:v>
                </c:pt>
                <c:pt idx="4">
                  <c:v>70385.151313969545</c:v>
                </c:pt>
                <c:pt idx="5">
                  <c:v>71645.151313969545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'1. Pricing Model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E2AE-4AFF-8553-02C1D4D64661}"/>
            </c:ext>
          </c:extLst>
        </c:ser>
        <c:ser>
          <c:idx val="4"/>
          <c:order val="4"/>
          <c:tx>
            <c:v>100%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'1. Pricing Model '!$C$95:$H$95</c:f>
              <c:numCache>
                <c:formatCode>_("$"* #,##0.00_);_("$"* \(#,##0.00\);_("$"* "-"??_);_(@_)</c:formatCode>
                <c:ptCount val="6"/>
                <c:pt idx="0">
                  <c:v>68845.151313969545</c:v>
                </c:pt>
                <c:pt idx="1">
                  <c:v>70245.151313969545</c:v>
                </c:pt>
                <c:pt idx="2">
                  <c:v>71645.151313969545</c:v>
                </c:pt>
                <c:pt idx="3">
                  <c:v>73045.151313969545</c:v>
                </c:pt>
                <c:pt idx="4">
                  <c:v>74445.151313969545</c:v>
                </c:pt>
                <c:pt idx="5">
                  <c:v>75845.151313969545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'1. Pricing Model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E2AE-4AFF-8553-02C1D4D6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214911"/>
        <c:axId val="732744079"/>
      </c:lineChart>
      <c:catAx>
        <c:axId val="9732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44079"/>
        <c:crosses val="autoZero"/>
        <c:auto val="1"/>
        <c:lblAlgn val="ctr"/>
        <c:lblOffset val="100"/>
        <c:noMultiLvlLbl val="0"/>
      </c:catAx>
      <c:valAx>
        <c:axId val="732744079"/>
        <c:scaling>
          <c:orientation val="minMax"/>
          <c:min val="50000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214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Sales</a:t>
            </a:r>
            <a:r>
              <a:rPr lang="en-US" b="1" baseline="0">
                <a:solidFill>
                  <a:schemeClr val="tx1"/>
                </a:solidFill>
              </a:rPr>
              <a:t> Generated Each Month From Three Channels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Instagram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Customer_relations'!$B$7:$Y$7</c:f>
              <c:numCache>
                <c:formatCode>0</c:formatCode>
                <c:ptCount val="24"/>
                <c:pt idx="0">
                  <c:v>3.3254809983660101</c:v>
                </c:pt>
                <c:pt idx="1">
                  <c:v>2.9479409184829342</c:v>
                </c:pt>
                <c:pt idx="2">
                  <c:v>4.7821743533850647</c:v>
                </c:pt>
                <c:pt idx="3">
                  <c:v>8.3393721389874162</c:v>
                </c:pt>
                <c:pt idx="4">
                  <c:v>12.15881886828811</c:v>
                </c:pt>
                <c:pt idx="5">
                  <c:v>7.4514602697688321</c:v>
                </c:pt>
                <c:pt idx="6">
                  <c:v>3.4642726355376094</c:v>
                </c:pt>
                <c:pt idx="7">
                  <c:v>8.5880792091150031</c:v>
                </c:pt>
                <c:pt idx="8">
                  <c:v>6.8986424017941017</c:v>
                </c:pt>
                <c:pt idx="9">
                  <c:v>1.7211375974153065</c:v>
                </c:pt>
                <c:pt idx="10">
                  <c:v>4.769695183267797</c:v>
                </c:pt>
                <c:pt idx="11">
                  <c:v>3.5568566191641118</c:v>
                </c:pt>
                <c:pt idx="12">
                  <c:v>4.5771708302760334</c:v>
                </c:pt>
                <c:pt idx="13">
                  <c:v>5.0315273146539345</c:v>
                </c:pt>
                <c:pt idx="14">
                  <c:v>6.7984338162831897</c:v>
                </c:pt>
                <c:pt idx="15">
                  <c:v>5.5844629610817567</c:v>
                </c:pt>
                <c:pt idx="16">
                  <c:v>20.235331626618393</c:v>
                </c:pt>
                <c:pt idx="17">
                  <c:v>25.878336638494659</c:v>
                </c:pt>
                <c:pt idx="18">
                  <c:v>28.577023108476318</c:v>
                </c:pt>
                <c:pt idx="19">
                  <c:v>14.396132474343663</c:v>
                </c:pt>
                <c:pt idx="20">
                  <c:v>8.5816635156760874</c:v>
                </c:pt>
                <c:pt idx="21">
                  <c:v>10.999199723669868</c:v>
                </c:pt>
                <c:pt idx="22">
                  <c:v>12.037907637643505</c:v>
                </c:pt>
                <c:pt idx="23">
                  <c:v>14.385133400711714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EB-42CF-B9A5-D562F8EC4888}"/>
            </c:ext>
          </c:extLst>
        </c:ser>
        <c:ser>
          <c:idx val="1"/>
          <c:order val="1"/>
          <c:tx>
            <c:v>TikTok</c:v>
          </c:tx>
          <c:spPr>
            <a:ln>
              <a:solidFill>
                <a:schemeClr val="tx1"/>
              </a:solidFill>
            </a:ln>
          </c:spPr>
          <c:invertIfNegative val="0"/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Customer_relations'!$B$15:$Y$15</c:f>
              <c:numCache>
                <c:formatCode>0</c:formatCode>
                <c:ptCount val="24"/>
                <c:pt idx="0">
                  <c:v>4.2326715233285768</c:v>
                </c:pt>
                <c:pt idx="1">
                  <c:v>12.207386123361628</c:v>
                </c:pt>
                <c:pt idx="2">
                  <c:v>16.151643373240788</c:v>
                </c:pt>
                <c:pt idx="3">
                  <c:v>27.121325913765176</c:v>
                </c:pt>
                <c:pt idx="4">
                  <c:v>26.328787786794525</c:v>
                </c:pt>
                <c:pt idx="5">
                  <c:v>8.7944003245889864</c:v>
                </c:pt>
                <c:pt idx="6">
                  <c:v>29.651443926780711</c:v>
                </c:pt>
                <c:pt idx="7">
                  <c:v>23.360279849539207</c:v>
                </c:pt>
                <c:pt idx="8">
                  <c:v>37.130314932768549</c:v>
                </c:pt>
                <c:pt idx="9">
                  <c:v>49.688503875412557</c:v>
                </c:pt>
                <c:pt idx="10">
                  <c:v>21.582841056412239</c:v>
                </c:pt>
                <c:pt idx="11">
                  <c:v>12.225184862217654</c:v>
                </c:pt>
                <c:pt idx="12">
                  <c:v>21.592253026101872</c:v>
                </c:pt>
                <c:pt idx="13">
                  <c:v>34.864561879145683</c:v>
                </c:pt>
                <c:pt idx="14">
                  <c:v>31.471297252633072</c:v>
                </c:pt>
                <c:pt idx="15">
                  <c:v>50.974200354521308</c:v>
                </c:pt>
                <c:pt idx="16">
                  <c:v>16.758715264215763</c:v>
                </c:pt>
                <c:pt idx="17">
                  <c:v>35.292173594530809</c:v>
                </c:pt>
                <c:pt idx="18">
                  <c:v>43.422952536269968</c:v>
                </c:pt>
                <c:pt idx="19">
                  <c:v>28.04039087082554</c:v>
                </c:pt>
                <c:pt idx="20">
                  <c:v>41.032495374427072</c:v>
                </c:pt>
                <c:pt idx="21">
                  <c:v>42.189941923956276</c:v>
                </c:pt>
                <c:pt idx="22">
                  <c:v>37.04594869302607</c:v>
                </c:pt>
                <c:pt idx="23">
                  <c:v>42.823538182996558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EB-42CF-B9A5-D562F8EC4888}"/>
            </c:ext>
          </c:extLst>
        </c:ser>
        <c:ser>
          <c:idx val="2"/>
          <c:order val="2"/>
          <c:tx>
            <c:v>Email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Customer_relations'!$B$23:$Y$23</c:f>
              <c:numCache>
                <c:formatCode>0</c:formatCode>
                <c:ptCount val="24"/>
                <c:pt idx="0">
                  <c:v>2.1643321659169996</c:v>
                </c:pt>
                <c:pt idx="1">
                  <c:v>1.0208825130576871</c:v>
                </c:pt>
                <c:pt idx="2">
                  <c:v>0.94377969543275686</c:v>
                </c:pt>
                <c:pt idx="3">
                  <c:v>1.4763806112935398</c:v>
                </c:pt>
                <c:pt idx="4">
                  <c:v>2.8987436611494561</c:v>
                </c:pt>
                <c:pt idx="5">
                  <c:v>1.8670689750048532</c:v>
                </c:pt>
                <c:pt idx="6">
                  <c:v>3.9109054726331753</c:v>
                </c:pt>
                <c:pt idx="7">
                  <c:v>2.6585352159198474</c:v>
                </c:pt>
                <c:pt idx="8">
                  <c:v>2.666959471862385</c:v>
                </c:pt>
                <c:pt idx="9">
                  <c:v>1.3583823540154465</c:v>
                </c:pt>
                <c:pt idx="10">
                  <c:v>0.78869632047783134</c:v>
                </c:pt>
                <c:pt idx="11">
                  <c:v>0.80648535427166645</c:v>
                </c:pt>
                <c:pt idx="12">
                  <c:v>2.1363383901287056</c:v>
                </c:pt>
                <c:pt idx="13">
                  <c:v>5.3355835480589668</c:v>
                </c:pt>
                <c:pt idx="14">
                  <c:v>5.2875066577069019</c:v>
                </c:pt>
                <c:pt idx="15">
                  <c:v>5.4945557061537675</c:v>
                </c:pt>
                <c:pt idx="16">
                  <c:v>4.0794694018745998</c:v>
                </c:pt>
                <c:pt idx="17">
                  <c:v>0.60361573721379702</c:v>
                </c:pt>
                <c:pt idx="18">
                  <c:v>0.68618416670531635</c:v>
                </c:pt>
                <c:pt idx="19">
                  <c:v>0.62837648155005332</c:v>
                </c:pt>
                <c:pt idx="20">
                  <c:v>1.4830891784570246</c:v>
                </c:pt>
                <c:pt idx="21">
                  <c:v>1.2960913910878806</c:v>
                </c:pt>
                <c:pt idx="22">
                  <c:v>3.8344241826866052</c:v>
                </c:pt>
                <c:pt idx="23">
                  <c:v>1.7516176682400797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BEB-42CF-B9A5-D562F8EC4888}"/>
            </c:ext>
          </c:extLst>
        </c:ser>
        <c:ser>
          <c:idx val="6"/>
          <c:order val="3"/>
          <c:tx>
            <c:v>Instagram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Customer_relations'!$B$9:$Y$9</c:f>
              <c:numCache>
                <c:formatCode>"$"#,##0</c:formatCode>
                <c:ptCount val="24"/>
                <c:pt idx="0">
                  <c:v>798.1154396078424</c:v>
                </c:pt>
                <c:pt idx="1">
                  <c:v>707.50582043590418</c:v>
                </c:pt>
                <c:pt idx="2">
                  <c:v>1147.7218448124156</c:v>
                </c:pt>
                <c:pt idx="3">
                  <c:v>2001.4493133569799</c:v>
                </c:pt>
                <c:pt idx="4">
                  <c:v>2918.1165283891464</c:v>
                </c:pt>
                <c:pt idx="5">
                  <c:v>1788.3504647445197</c:v>
                </c:pt>
                <c:pt idx="6">
                  <c:v>831.42543252902624</c:v>
                </c:pt>
                <c:pt idx="7">
                  <c:v>2061.1390101876009</c:v>
                </c:pt>
                <c:pt idx="8">
                  <c:v>1655.6741764305843</c:v>
                </c:pt>
                <c:pt idx="9">
                  <c:v>413.07302337967354</c:v>
                </c:pt>
                <c:pt idx="10">
                  <c:v>1144.7268439842712</c:v>
                </c:pt>
                <c:pt idx="11">
                  <c:v>853.64558859938688</c:v>
                </c:pt>
                <c:pt idx="12">
                  <c:v>1098.5209992662481</c:v>
                </c:pt>
                <c:pt idx="13">
                  <c:v>1207.5665555169444</c:v>
                </c:pt>
                <c:pt idx="14">
                  <c:v>1631.6241159079655</c:v>
                </c:pt>
                <c:pt idx="15">
                  <c:v>1340.2711106596216</c:v>
                </c:pt>
                <c:pt idx="16">
                  <c:v>4856.4795903884142</c:v>
                </c:pt>
                <c:pt idx="17">
                  <c:v>6210.8007932387181</c:v>
                </c:pt>
                <c:pt idx="18">
                  <c:v>6858.485546034316</c:v>
                </c:pt>
                <c:pt idx="19">
                  <c:v>3455.0717938424791</c:v>
                </c:pt>
                <c:pt idx="20">
                  <c:v>2059.5992437622608</c:v>
                </c:pt>
                <c:pt idx="21">
                  <c:v>2639.8079336807682</c:v>
                </c:pt>
                <c:pt idx="22">
                  <c:v>2889.097833034441</c:v>
                </c:pt>
                <c:pt idx="23">
                  <c:v>3452.4320161708115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EB-42CF-B9A5-D562F8EC4888}"/>
            </c:ext>
          </c:extLst>
        </c:ser>
        <c:ser>
          <c:idx val="14"/>
          <c:order val="4"/>
          <c:tx>
            <c:v>Tiktok</c:v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Customer_relations'!$B$17:$Y$17</c:f>
              <c:numCache>
                <c:formatCode>"$"#,##0</c:formatCode>
                <c:ptCount val="24"/>
                <c:pt idx="0">
                  <c:v>1015.8411655988584</c:v>
                </c:pt>
                <c:pt idx="1">
                  <c:v>2929.7726696067907</c:v>
                </c:pt>
                <c:pt idx="2">
                  <c:v>3876.3944095777888</c:v>
                </c:pt>
                <c:pt idx="3">
                  <c:v>6509.118219303642</c:v>
                </c:pt>
                <c:pt idx="4">
                  <c:v>6318.909068830686</c:v>
                </c:pt>
                <c:pt idx="5">
                  <c:v>2110.6560779013566</c:v>
                </c:pt>
                <c:pt idx="6">
                  <c:v>7116.3465424273709</c:v>
                </c:pt>
                <c:pt idx="7">
                  <c:v>5606.4671638894097</c:v>
                </c:pt>
                <c:pt idx="8">
                  <c:v>8911.2755838644516</c:v>
                </c:pt>
                <c:pt idx="9">
                  <c:v>11925.240930099013</c:v>
                </c:pt>
                <c:pt idx="10">
                  <c:v>5179.8818535389373</c:v>
                </c:pt>
                <c:pt idx="11">
                  <c:v>2934.0443669322372</c:v>
                </c:pt>
                <c:pt idx="12">
                  <c:v>5182.1407262644498</c:v>
                </c:pt>
                <c:pt idx="13">
                  <c:v>8367.4948509949645</c:v>
                </c:pt>
                <c:pt idx="14">
                  <c:v>7553.1113406319373</c:v>
                </c:pt>
                <c:pt idx="15">
                  <c:v>12233.808085085115</c:v>
                </c:pt>
                <c:pt idx="16">
                  <c:v>4022.091663411783</c:v>
                </c:pt>
                <c:pt idx="17">
                  <c:v>8470.1216626873938</c:v>
                </c:pt>
                <c:pt idx="18">
                  <c:v>10421.508608704793</c:v>
                </c:pt>
                <c:pt idx="19">
                  <c:v>6729.6938089981295</c:v>
                </c:pt>
                <c:pt idx="20">
                  <c:v>9847.7988898624972</c:v>
                </c:pt>
                <c:pt idx="21">
                  <c:v>10125.586061749505</c:v>
                </c:pt>
                <c:pt idx="22">
                  <c:v>8891.027686326257</c:v>
                </c:pt>
                <c:pt idx="23">
                  <c:v>10277.649163919174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EB-42CF-B9A5-D562F8EC4888}"/>
            </c:ext>
          </c:extLst>
        </c:ser>
        <c:ser>
          <c:idx val="22"/>
          <c:order val="5"/>
          <c:tx>
            <c:v>Email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Customer_relations'!$B$25:$Y$25</c:f>
              <c:numCache>
                <c:formatCode>"$"#,##0</c:formatCode>
                <c:ptCount val="24"/>
                <c:pt idx="0">
                  <c:v>519.43971982007986</c:v>
                </c:pt>
                <c:pt idx="1">
                  <c:v>245.01180313384489</c:v>
                </c:pt>
                <c:pt idx="2">
                  <c:v>226.50712690386166</c:v>
                </c:pt>
                <c:pt idx="3">
                  <c:v>354.33134671044957</c:v>
                </c:pt>
                <c:pt idx="4">
                  <c:v>695.69847867586952</c:v>
                </c:pt>
                <c:pt idx="5">
                  <c:v>448.0965540011648</c:v>
                </c:pt>
                <c:pt idx="6">
                  <c:v>938.61731343196209</c:v>
                </c:pt>
                <c:pt idx="7">
                  <c:v>638.04845182076338</c:v>
                </c:pt>
                <c:pt idx="8">
                  <c:v>640.07027324697242</c:v>
                </c:pt>
                <c:pt idx="9">
                  <c:v>326.01176496370715</c:v>
                </c:pt>
                <c:pt idx="10">
                  <c:v>189.28711691467953</c:v>
                </c:pt>
                <c:pt idx="11">
                  <c:v>193.55648502519995</c:v>
                </c:pt>
                <c:pt idx="12">
                  <c:v>512.72121363088934</c:v>
                </c:pt>
                <c:pt idx="13">
                  <c:v>1280.5400515341521</c:v>
                </c:pt>
                <c:pt idx="14">
                  <c:v>1269.0015978496565</c:v>
                </c:pt>
                <c:pt idx="15">
                  <c:v>1318.6933694769043</c:v>
                </c:pt>
                <c:pt idx="16">
                  <c:v>979.072656449904</c:v>
                </c:pt>
                <c:pt idx="17">
                  <c:v>144.86777693131128</c:v>
                </c:pt>
                <c:pt idx="18">
                  <c:v>164.68420000927591</c:v>
                </c:pt>
                <c:pt idx="19">
                  <c:v>150.81035557201281</c:v>
                </c:pt>
                <c:pt idx="20">
                  <c:v>355.9414028296859</c:v>
                </c:pt>
                <c:pt idx="21">
                  <c:v>311.06193386109135</c:v>
                </c:pt>
                <c:pt idx="22">
                  <c:v>920.26180384478528</c:v>
                </c:pt>
                <c:pt idx="23">
                  <c:v>420.38824037761913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EB-42CF-B9A5-D562F8EC4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8608080"/>
        <c:axId val="1043144432"/>
      </c:barChart>
      <c:dateAx>
        <c:axId val="1486080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144432"/>
        <c:crosses val="autoZero"/>
        <c:auto val="1"/>
        <c:lblOffset val="100"/>
        <c:baseTimeUnit val="months"/>
      </c:dateAx>
      <c:valAx>
        <c:axId val="104314443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080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7084049045707742"/>
          <c:y val="0.91851432526925869"/>
          <c:w val="0.39974281221438146"/>
          <c:h val="6.28604782129197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19050" cmpd="sng">
      <a:solidFill>
        <a:schemeClr val="tx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Number</a:t>
            </a:r>
            <a:r>
              <a:rPr lang="en-US" b="1" baseline="0">
                <a:solidFill>
                  <a:schemeClr val="tx1"/>
                </a:solidFill>
              </a:rPr>
              <a:t> of Customers Acquired MoM on Various Platforms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039413781966227E-2"/>
          <c:y val="0.24205124261811023"/>
          <c:w val="0.93474168842149441"/>
          <c:h val="0.61049550935039365"/>
        </c:manualLayout>
      </c:layout>
      <c:lineChart>
        <c:grouping val="standard"/>
        <c:varyColors val="0"/>
        <c:ser>
          <c:idx val="4"/>
          <c:order val="0"/>
          <c:tx>
            <c:v>Instagram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Customer_relations'!$B$7:$Y$7</c:f>
              <c:numCache>
                <c:formatCode>0</c:formatCode>
                <c:ptCount val="24"/>
                <c:pt idx="0">
                  <c:v>3.3254809983660101</c:v>
                </c:pt>
                <c:pt idx="1">
                  <c:v>2.9479409184829342</c:v>
                </c:pt>
                <c:pt idx="2">
                  <c:v>4.7821743533850647</c:v>
                </c:pt>
                <c:pt idx="3">
                  <c:v>8.3393721389874162</c:v>
                </c:pt>
                <c:pt idx="4">
                  <c:v>12.15881886828811</c:v>
                </c:pt>
                <c:pt idx="5">
                  <c:v>7.4514602697688321</c:v>
                </c:pt>
                <c:pt idx="6">
                  <c:v>3.4642726355376094</c:v>
                </c:pt>
                <c:pt idx="7">
                  <c:v>8.5880792091150031</c:v>
                </c:pt>
                <c:pt idx="8">
                  <c:v>6.8986424017941017</c:v>
                </c:pt>
                <c:pt idx="9">
                  <c:v>1.7211375974153065</c:v>
                </c:pt>
                <c:pt idx="10">
                  <c:v>4.769695183267797</c:v>
                </c:pt>
                <c:pt idx="11">
                  <c:v>3.5568566191641118</c:v>
                </c:pt>
                <c:pt idx="12">
                  <c:v>4.5771708302760334</c:v>
                </c:pt>
                <c:pt idx="13">
                  <c:v>5.0315273146539345</c:v>
                </c:pt>
                <c:pt idx="14">
                  <c:v>6.7984338162831897</c:v>
                </c:pt>
                <c:pt idx="15">
                  <c:v>5.5844629610817567</c:v>
                </c:pt>
                <c:pt idx="16">
                  <c:v>20.235331626618393</c:v>
                </c:pt>
                <c:pt idx="17">
                  <c:v>25.878336638494659</c:v>
                </c:pt>
                <c:pt idx="18">
                  <c:v>28.577023108476318</c:v>
                </c:pt>
                <c:pt idx="19">
                  <c:v>14.396132474343663</c:v>
                </c:pt>
                <c:pt idx="20">
                  <c:v>8.5816635156760874</c:v>
                </c:pt>
                <c:pt idx="21">
                  <c:v>10.999199723669868</c:v>
                </c:pt>
                <c:pt idx="22">
                  <c:v>12.037907637643505</c:v>
                </c:pt>
                <c:pt idx="23">
                  <c:v>14.385133400711714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5-416F-8B84-A3E957F63D40}"/>
            </c:ext>
          </c:extLst>
        </c:ser>
        <c:ser>
          <c:idx val="12"/>
          <c:order val="1"/>
          <c:tx>
            <c:v>TikTok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Customer_relations'!$B$15:$Y$15</c:f>
              <c:numCache>
                <c:formatCode>0</c:formatCode>
                <c:ptCount val="24"/>
                <c:pt idx="0">
                  <c:v>4.2326715233285768</c:v>
                </c:pt>
                <c:pt idx="1">
                  <c:v>12.207386123361628</c:v>
                </c:pt>
                <c:pt idx="2">
                  <c:v>16.151643373240788</c:v>
                </c:pt>
                <c:pt idx="3">
                  <c:v>27.121325913765176</c:v>
                </c:pt>
                <c:pt idx="4">
                  <c:v>26.328787786794525</c:v>
                </c:pt>
                <c:pt idx="5">
                  <c:v>8.7944003245889864</c:v>
                </c:pt>
                <c:pt idx="6">
                  <c:v>29.651443926780711</c:v>
                </c:pt>
                <c:pt idx="7">
                  <c:v>23.360279849539207</c:v>
                </c:pt>
                <c:pt idx="8">
                  <c:v>37.130314932768549</c:v>
                </c:pt>
                <c:pt idx="9">
                  <c:v>49.688503875412557</c:v>
                </c:pt>
                <c:pt idx="10">
                  <c:v>21.582841056412239</c:v>
                </c:pt>
                <c:pt idx="11">
                  <c:v>12.225184862217654</c:v>
                </c:pt>
                <c:pt idx="12">
                  <c:v>21.592253026101872</c:v>
                </c:pt>
                <c:pt idx="13">
                  <c:v>34.864561879145683</c:v>
                </c:pt>
                <c:pt idx="14">
                  <c:v>31.471297252633072</c:v>
                </c:pt>
                <c:pt idx="15">
                  <c:v>50.974200354521308</c:v>
                </c:pt>
                <c:pt idx="16">
                  <c:v>16.758715264215763</c:v>
                </c:pt>
                <c:pt idx="17">
                  <c:v>35.292173594530809</c:v>
                </c:pt>
                <c:pt idx="18">
                  <c:v>43.422952536269968</c:v>
                </c:pt>
                <c:pt idx="19">
                  <c:v>28.04039087082554</c:v>
                </c:pt>
                <c:pt idx="20">
                  <c:v>41.032495374427072</c:v>
                </c:pt>
                <c:pt idx="21">
                  <c:v>42.189941923956276</c:v>
                </c:pt>
                <c:pt idx="22">
                  <c:v>37.04594869302607</c:v>
                </c:pt>
                <c:pt idx="23">
                  <c:v>42.823538182996558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5-416F-8B84-A3E957F63D40}"/>
            </c:ext>
          </c:extLst>
        </c:ser>
        <c:ser>
          <c:idx val="20"/>
          <c:order val="2"/>
          <c:tx>
            <c:v>Email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Customer_relations'!$B$23:$Y$23</c:f>
              <c:numCache>
                <c:formatCode>0</c:formatCode>
                <c:ptCount val="24"/>
                <c:pt idx="0">
                  <c:v>2.1643321659169996</c:v>
                </c:pt>
                <c:pt idx="1">
                  <c:v>1.0208825130576871</c:v>
                </c:pt>
                <c:pt idx="2">
                  <c:v>0.94377969543275686</c:v>
                </c:pt>
                <c:pt idx="3">
                  <c:v>1.4763806112935398</c:v>
                </c:pt>
                <c:pt idx="4">
                  <c:v>2.8987436611494561</c:v>
                </c:pt>
                <c:pt idx="5">
                  <c:v>1.8670689750048532</c:v>
                </c:pt>
                <c:pt idx="6">
                  <c:v>3.9109054726331753</c:v>
                </c:pt>
                <c:pt idx="7">
                  <c:v>2.6585352159198474</c:v>
                </c:pt>
                <c:pt idx="8">
                  <c:v>2.666959471862385</c:v>
                </c:pt>
                <c:pt idx="9">
                  <c:v>1.3583823540154465</c:v>
                </c:pt>
                <c:pt idx="10">
                  <c:v>0.78869632047783134</c:v>
                </c:pt>
                <c:pt idx="11">
                  <c:v>0.80648535427166645</c:v>
                </c:pt>
                <c:pt idx="12">
                  <c:v>2.1363383901287056</c:v>
                </c:pt>
                <c:pt idx="13">
                  <c:v>5.3355835480589668</c:v>
                </c:pt>
                <c:pt idx="14">
                  <c:v>5.2875066577069019</c:v>
                </c:pt>
                <c:pt idx="15">
                  <c:v>5.4945557061537675</c:v>
                </c:pt>
                <c:pt idx="16">
                  <c:v>4.0794694018745998</c:v>
                </c:pt>
                <c:pt idx="17">
                  <c:v>0.60361573721379702</c:v>
                </c:pt>
                <c:pt idx="18">
                  <c:v>0.68618416670531635</c:v>
                </c:pt>
                <c:pt idx="19">
                  <c:v>0.62837648155005332</c:v>
                </c:pt>
                <c:pt idx="20">
                  <c:v>1.4830891784570246</c:v>
                </c:pt>
                <c:pt idx="21">
                  <c:v>1.2960913910878806</c:v>
                </c:pt>
                <c:pt idx="22">
                  <c:v>3.8344241826866052</c:v>
                </c:pt>
                <c:pt idx="23">
                  <c:v>1.7516176682400797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A5-416F-8B84-A3E957F63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4899680"/>
        <c:axId val="1412834640"/>
      </c:lineChart>
      <c:dateAx>
        <c:axId val="9648996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834640"/>
        <c:crosses val="autoZero"/>
        <c:auto val="1"/>
        <c:lblOffset val="100"/>
        <c:baseTimeUnit val="months"/>
      </c:dateAx>
      <c:valAx>
        <c:axId val="1412834640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89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tx1"/>
      </a:solidFill>
      <a:round/>
    </a:ln>
    <a:effectLst/>
  </c:spPr>
  <c:txPr>
    <a:bodyPr anchor="ctr" anchorCtr="1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1">
                <a:solidFill>
                  <a:sysClr val="windowText" lastClr="000000"/>
                </a:solidFill>
              </a:rPr>
              <a:t>Recommended Vs Current Number of Class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6028040829252"/>
          <c:y val="0.25998288958107835"/>
          <c:w val="0.82812081370130308"/>
          <c:h val="0.37844055704969742"/>
        </c:manualLayout>
      </c:layout>
      <c:barChart>
        <c:barDir val="col"/>
        <c:grouping val="clustered"/>
        <c:varyColors val="0"/>
        <c:ser>
          <c:idx val="1"/>
          <c:order val="0"/>
          <c:tx>
            <c:v>Current</c:v>
          </c:tx>
          <c:spPr>
            <a:solidFill>
              <a:schemeClr val="accent2"/>
            </a:solidFill>
            <a:ln>
              <a:solidFill>
                <a:srgbClr val="F4B084"/>
              </a:solidFill>
              <a:prstDash val="solid"/>
            </a:ln>
            <a:effectLst/>
          </c:spPr>
          <c:invertIfNegative val="0"/>
          <c:cat>
            <c:strRef>
              <c:f>'2. Class Run Optimiser'!$B$38:$B$45</c:f>
              <c:strCache>
                <c:ptCount val="8"/>
                <c:pt idx="0">
                  <c:v>Pole Tricks - Beginner</c:v>
                </c:pt>
                <c:pt idx="1">
                  <c:v>Pole Tricks - Intermediate</c:v>
                </c:pt>
                <c:pt idx="2">
                  <c:v>Pole Tricks - Advanced</c:v>
                </c:pt>
                <c:pt idx="3">
                  <c:v>Choreography - Beginner</c:v>
                </c:pt>
                <c:pt idx="4">
                  <c:v>Choreography - Intermediate</c:v>
                </c:pt>
                <c:pt idx="5">
                  <c:v>Choreography - Advanced</c:v>
                </c:pt>
                <c:pt idx="6">
                  <c:v>Choreography - Open</c:v>
                </c:pt>
                <c:pt idx="7">
                  <c:v>Conditioning for Pole</c:v>
                </c:pt>
              </c:strCache>
            </c:strRef>
          </c:cat>
          <c:val>
            <c:numRef>
              <c:f>'2. Class Run Optimiser'!$E$38:$E$45</c:f>
              <c:numCache>
                <c:formatCode>General</c:formatCode>
                <c:ptCount val="8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9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D-43D9-B39B-FBE83AF56A7A}"/>
            </c:ext>
          </c:extLst>
        </c:ser>
        <c:ser>
          <c:idx val="0"/>
          <c:order val="1"/>
          <c:tx>
            <c:v>Recommended</c:v>
          </c:tx>
          <c:spPr>
            <a:solidFill>
              <a:schemeClr val="accent2">
                <a:lumMod val="50000"/>
              </a:schemeClr>
            </a:solidFill>
            <a:ln>
              <a:solidFill>
                <a:srgbClr val="305496"/>
              </a:solidFill>
              <a:prstDash val="solid"/>
            </a:ln>
            <a:effectLst/>
          </c:spPr>
          <c:invertIfNegative val="0"/>
          <c:cat>
            <c:strRef>
              <c:f>'2. Class Run Optimiser'!$B$38:$B$45</c:f>
              <c:strCache>
                <c:ptCount val="8"/>
                <c:pt idx="0">
                  <c:v>Pole Tricks - Beginner</c:v>
                </c:pt>
                <c:pt idx="1">
                  <c:v>Pole Tricks - Intermediate</c:v>
                </c:pt>
                <c:pt idx="2">
                  <c:v>Pole Tricks - Advanced</c:v>
                </c:pt>
                <c:pt idx="3">
                  <c:v>Choreography - Beginner</c:v>
                </c:pt>
                <c:pt idx="4">
                  <c:v>Choreography - Intermediate</c:v>
                </c:pt>
                <c:pt idx="5">
                  <c:v>Choreography - Advanced</c:v>
                </c:pt>
                <c:pt idx="6">
                  <c:v>Choreography - Open</c:v>
                </c:pt>
                <c:pt idx="7">
                  <c:v>Conditioning for Pole</c:v>
                </c:pt>
              </c:strCache>
            </c:strRef>
          </c:cat>
          <c:val>
            <c:numRef>
              <c:f>'2. Class Run Optimiser'!$C$38:$C$45</c:f>
              <c:numCache>
                <c:formatCode>General</c:formatCode>
                <c:ptCount val="8"/>
                <c:pt idx="0">
                  <c:v>6</c:v>
                </c:pt>
                <c:pt idx="1">
                  <c:v>1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7D-43D9-B39B-FBE83AF56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3546295"/>
        <c:axId val="2093256296"/>
      </c:barChart>
      <c:lineChart>
        <c:grouping val="standard"/>
        <c:varyColors val="0"/>
        <c:ser>
          <c:idx val="2"/>
          <c:order val="2"/>
          <c:tx>
            <c:v>Delta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'2. Class Run Optimiser'!$J$38:$J$45</c:f>
              <c:numCache>
                <c:formatCode>General</c:formatCode>
                <c:ptCount val="8"/>
                <c:pt idx="0">
                  <c:v>3</c:v>
                </c:pt>
                <c:pt idx="1">
                  <c:v>-4</c:v>
                </c:pt>
                <c:pt idx="2">
                  <c:v>2</c:v>
                </c:pt>
                <c:pt idx="3">
                  <c:v>4</c:v>
                </c:pt>
                <c:pt idx="4">
                  <c:v>-1</c:v>
                </c:pt>
                <c:pt idx="5">
                  <c:v>2</c:v>
                </c:pt>
                <c:pt idx="6">
                  <c:v>-5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7D-43D9-B39B-FBE83AF56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7614688"/>
        <c:axId val="1161582784"/>
      </c:lineChart>
      <c:catAx>
        <c:axId val="983546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256296"/>
        <c:crosses val="autoZero"/>
        <c:auto val="1"/>
        <c:lblAlgn val="ctr"/>
        <c:lblOffset val="100"/>
        <c:noMultiLvlLbl val="0"/>
      </c:catAx>
      <c:valAx>
        <c:axId val="2093256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546295"/>
        <c:crosses val="autoZero"/>
        <c:crossBetween val="between"/>
      </c:valAx>
      <c:valAx>
        <c:axId val="1161582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614688"/>
        <c:crosses val="max"/>
        <c:crossBetween val="between"/>
      </c:valAx>
      <c:catAx>
        <c:axId val="126761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1161582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1">
                <a:solidFill>
                  <a:sysClr val="windowText" lastClr="000000"/>
                </a:solidFill>
              </a:rPr>
              <a:t>Profit at end of 4 years</a:t>
            </a:r>
          </a:p>
        </c:rich>
      </c:tx>
      <c:overlay val="0"/>
      <c:spPr>
        <a:noFill/>
        <a:ln w="1905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'0. Results Summary'!$AR$14</c:f>
              <c:strCache>
                <c:ptCount val="1"/>
                <c:pt idx="0">
                  <c:v>Waterloo Street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'0. Results Summary'!$AW$13</c:f>
              <c:strCache>
                <c:ptCount val="1"/>
                <c:pt idx="0">
                  <c:v>Profit at end of 4 years</c:v>
                </c:pt>
              </c:strCache>
            </c:strRef>
          </c:cat>
          <c:val>
            <c:numRef>
              <c:f>'0. Results Summary'!$AW$14</c:f>
              <c:numCache>
                <c:formatCode>"$"#,##0.00</c:formatCode>
                <c:ptCount val="1"/>
                <c:pt idx="0">
                  <c:v>36308.596191999968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20-43DC-87D3-D42A6A4447F4}"/>
            </c:ext>
          </c:extLst>
        </c:ser>
        <c:ser>
          <c:idx val="1"/>
          <c:order val="1"/>
          <c:tx>
            <c:strRef>
              <c:f>'0. Results Summary'!$AR$15</c:f>
              <c:strCache>
                <c:ptCount val="1"/>
                <c:pt idx="0">
                  <c:v>326D King George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'0. Results Summary'!$AW$13</c:f>
              <c:strCache>
                <c:ptCount val="1"/>
                <c:pt idx="0">
                  <c:v>Profit at end of 4 years</c:v>
                </c:pt>
              </c:strCache>
            </c:strRef>
          </c:cat>
          <c:val>
            <c:numRef>
              <c:f>'0. Results Summary'!$AW$15</c:f>
              <c:numCache>
                <c:formatCode>"$"#,##0.00</c:formatCode>
                <c:ptCount val="1"/>
                <c:pt idx="0">
                  <c:v>114775.218448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20-43DC-87D3-D42A6A4447F4}"/>
            </c:ext>
          </c:extLst>
        </c:ser>
        <c:ser>
          <c:idx val="2"/>
          <c:order val="2"/>
          <c:tx>
            <c:strRef>
              <c:f>'0. Results Summary'!$AR$16</c:f>
              <c:strCache>
                <c:ptCount val="1"/>
                <c:pt idx="0">
                  <c:v>Tanjong Pagar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'0. Results Summary'!$AW$13</c:f>
              <c:strCache>
                <c:ptCount val="1"/>
                <c:pt idx="0">
                  <c:v>Profit at end of 4 years</c:v>
                </c:pt>
              </c:strCache>
            </c:strRef>
          </c:cat>
          <c:val>
            <c:numRef>
              <c:f>'0. Results Summary'!$AW$16</c:f>
              <c:numCache>
                <c:formatCode>"$"#,##0.00</c:formatCode>
                <c:ptCount val="1"/>
                <c:pt idx="0">
                  <c:v>356188.65496000007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20-43DC-87D3-D42A6A4447F4}"/>
            </c:ext>
          </c:extLst>
        </c:ser>
        <c:ser>
          <c:idx val="3"/>
          <c:order val="3"/>
          <c:tx>
            <c:strRef>
              <c:f>'0. Results Summary'!$AR$17</c:f>
              <c:strCache>
                <c:ptCount val="1"/>
                <c:pt idx="0">
                  <c:v> Bencoolen Street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'0. Results Summary'!$AW$13</c:f>
              <c:strCache>
                <c:ptCount val="1"/>
                <c:pt idx="0">
                  <c:v>Profit at end of 4 years</c:v>
                </c:pt>
              </c:strCache>
            </c:strRef>
          </c:cat>
          <c:val>
            <c:numRef>
              <c:f>'0. Results Summary'!$AW$17</c:f>
              <c:numCache>
                <c:formatCode>"$"#,##0.00</c:formatCode>
                <c:ptCount val="1"/>
                <c:pt idx="0">
                  <c:v>417789.77408800012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20-43DC-87D3-D42A6A4447F4}"/>
            </c:ext>
          </c:extLst>
        </c:ser>
        <c:ser>
          <c:idx val="4"/>
          <c:order val="4"/>
          <c:tx>
            <c:strRef>
              <c:f>'0. Results Summary'!$AR$18</c:f>
              <c:strCache>
                <c:ptCount val="1"/>
                <c:pt idx="0">
                  <c:v>Kampong Bahru Rd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'0. Results Summary'!$AW$13</c:f>
              <c:strCache>
                <c:ptCount val="1"/>
                <c:pt idx="0">
                  <c:v>Profit at end of 4 years</c:v>
                </c:pt>
              </c:strCache>
            </c:strRef>
          </c:cat>
          <c:val>
            <c:numRef>
              <c:f>'0. Results Summary'!$AW$18</c:f>
              <c:numCache>
                <c:formatCode>"$"#,##0.00</c:formatCode>
                <c:ptCount val="1"/>
                <c:pt idx="0">
                  <c:v>488415.08521600015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20-43DC-87D3-D42A6A4447F4}"/>
            </c:ext>
          </c:extLst>
        </c:ser>
        <c:ser>
          <c:idx val="5"/>
          <c:order val="5"/>
          <c:tx>
            <c:strRef>
              <c:f>'0. Results Summary'!$AR$19</c:f>
              <c:strCache>
                <c:ptCount val="1"/>
                <c:pt idx="0">
                  <c:v>Pearl's Hill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'0. Results Summary'!$AW$13</c:f>
              <c:strCache>
                <c:ptCount val="1"/>
                <c:pt idx="0">
                  <c:v>Profit at end of 4 years</c:v>
                </c:pt>
              </c:strCache>
            </c:strRef>
          </c:cat>
          <c:val>
            <c:numRef>
              <c:f>'0. Results Summary'!$AW$19</c:f>
              <c:numCache>
                <c:formatCode>"$"#,##0.00</c:formatCode>
                <c:ptCount val="1"/>
                <c:pt idx="0">
                  <c:v>621601.70747200004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20-43DC-87D3-D42A6A4447F4}"/>
            </c:ext>
          </c:extLst>
        </c:ser>
        <c:ser>
          <c:idx val="6"/>
          <c:order val="6"/>
          <c:tx>
            <c:strRef>
              <c:f>'0. Results Summary'!$AR$20</c:f>
              <c:strCache>
                <c:ptCount val="1"/>
                <c:pt idx="0">
                  <c:v>31B Keong Saik Rd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'0. Results Summary'!$AW$13</c:f>
              <c:strCache>
                <c:ptCount val="1"/>
                <c:pt idx="0">
                  <c:v>Profit at end of 4 years</c:v>
                </c:pt>
              </c:strCache>
            </c:strRef>
          </c:cat>
          <c:val>
            <c:numRef>
              <c:f>'0. Results Summary'!$AW$20</c:f>
              <c:numCache>
                <c:formatCode>"$"#,##0.00</c:formatCode>
                <c:ptCount val="1"/>
                <c:pt idx="0">
                  <c:v>676099.01860000007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20-43DC-87D3-D42A6A4447F4}"/>
            </c:ext>
          </c:extLst>
        </c:ser>
        <c:ser>
          <c:idx val="7"/>
          <c:order val="7"/>
          <c:tx>
            <c:strRef>
              <c:f>'0. Results Summary'!$AR$21</c:f>
              <c:strCache>
                <c:ptCount val="1"/>
                <c:pt idx="0">
                  <c:v> Shenton Way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'0. Results Summary'!$AW$13</c:f>
              <c:strCache>
                <c:ptCount val="1"/>
                <c:pt idx="0">
                  <c:v>Profit at end of 4 years</c:v>
                </c:pt>
              </c:strCache>
            </c:strRef>
          </c:cat>
          <c:val>
            <c:numRef>
              <c:f>'0. Results Summary'!$AW$21</c:f>
              <c:numCache>
                <c:formatCode>"$"#,##0.00</c:formatCode>
                <c:ptCount val="1"/>
                <c:pt idx="0">
                  <c:v>716772.3297280001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20-43DC-87D3-D42A6A44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9758960"/>
        <c:axId val="949758240"/>
      </c:barChart>
      <c:catAx>
        <c:axId val="9497589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9758240"/>
        <c:crosses val="autoZero"/>
        <c:auto val="1"/>
        <c:lblAlgn val="ctr"/>
        <c:lblOffset val="100"/>
        <c:noMultiLvlLbl val="0"/>
      </c:catAx>
      <c:valAx>
        <c:axId val="949758240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75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="1"/>
              <a:t>Present</a:t>
            </a:r>
            <a:r>
              <a:rPr lang="en-SG" b="1" baseline="0"/>
              <a:t> Value against inflation</a:t>
            </a:r>
            <a:endParaRPr lang="en-SG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'4. Business Expansion Analysis'!$B$100</c:f>
              <c:strCache>
                <c:ptCount val="1"/>
                <c:pt idx="0">
                  <c:v>Waterloo Street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Analysis'!$B$102:$B$106</c:f>
              <c:numCache>
                <c:formatCode>"$"#,##0</c:formatCode>
                <c:ptCount val="5"/>
                <c:pt idx="0">
                  <c:v>32259.717444592774</c:v>
                </c:pt>
                <c:pt idx="1">
                  <c:v>31036.740195327413</c:v>
                </c:pt>
                <c:pt idx="2">
                  <c:v>29871.17194337738</c:v>
                </c:pt>
                <c:pt idx="3">
                  <c:v>28759.808964751199</c:v>
                </c:pt>
                <c:pt idx="4">
                  <c:v>27699.654191043694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1-487F-A009-259977E520A2}"/>
            </c:ext>
          </c:extLst>
        </c:ser>
        <c:ser>
          <c:idx val="1"/>
          <c:order val="1"/>
          <c:tx>
            <c:strRef>
              <c:f>'4. Business Expansion Analysis'!$C$100</c:f>
              <c:strCache>
                <c:ptCount val="1"/>
                <c:pt idx="0">
                  <c:v>326D King George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Analysis'!$C$102:$C$106</c:f>
              <c:numCache>
                <c:formatCode>"$"#,##0</c:formatCode>
                <c:ptCount val="5"/>
                <c:pt idx="0">
                  <c:v>101976.29501274177</c:v>
                </c:pt>
                <c:pt idx="1">
                  <c:v>98110.337755702611</c:v>
                </c:pt>
                <c:pt idx="2">
                  <c:v>94425.8562619484</c:v>
                </c:pt>
                <c:pt idx="3">
                  <c:v>90912.723229420269</c:v>
                </c:pt>
                <c:pt idx="4">
                  <c:v>87561.464615687917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1-487F-A009-259977E520A2}"/>
            </c:ext>
          </c:extLst>
        </c:ser>
        <c:ser>
          <c:idx val="2"/>
          <c:order val="2"/>
          <c:tx>
            <c:strRef>
              <c:f>'4. Business Expansion Analysis'!$D$100</c:f>
              <c:strCache>
                <c:ptCount val="1"/>
                <c:pt idx="0">
                  <c:v>Tanjong Pagar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Analysis'!$D$102:$D$106</c:f>
              <c:numCache>
                <c:formatCode>"$"#,##0</c:formatCode>
                <c:ptCount val="5"/>
                <c:pt idx="0">
                  <c:v>316469.00654647028</c:v>
                </c:pt>
                <c:pt idx="1">
                  <c:v>304471.55505704886</c:v>
                </c:pt>
                <c:pt idx="2">
                  <c:v>293037.28792838374</c:v>
                </c:pt>
                <c:pt idx="3">
                  <c:v>282134.77651108964</c:v>
                </c:pt>
                <c:pt idx="4">
                  <c:v>271734.61945463199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1-487F-A009-259977E520A2}"/>
            </c:ext>
          </c:extLst>
        </c:ser>
        <c:ser>
          <c:idx val="3"/>
          <c:order val="3"/>
          <c:tx>
            <c:strRef>
              <c:f>'4. Business Expansion Analysis'!$E$100</c:f>
              <c:strCache>
                <c:ptCount val="1"/>
                <c:pt idx="0">
                  <c:v> Bencoolen Street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Analysis'!$E$102:$E$106</c:f>
              <c:numCache>
                <c:formatCode>"$"#,##0</c:formatCode>
                <c:ptCount val="5"/>
                <c:pt idx="0">
                  <c:v>371200.8030288099</c:v>
                </c:pt>
                <c:pt idx="1">
                  <c:v>357128.44985978486</c:v>
                </c:pt>
                <c:pt idx="2">
                  <c:v>343716.68108493905</c:v>
                </c:pt>
                <c:pt idx="3">
                  <c:v>330928.63262074906</c:v>
                </c:pt>
                <c:pt idx="4">
                  <c:v>318729.81829415256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F1-487F-A009-259977E520A2}"/>
            </c:ext>
          </c:extLst>
        </c:ser>
        <c:ser>
          <c:idx val="4"/>
          <c:order val="4"/>
          <c:tx>
            <c:strRef>
              <c:f>'4. Business Expansion Analysis'!$F$100</c:f>
              <c:strCache>
                <c:ptCount val="1"/>
                <c:pt idx="0">
                  <c:v>Kampong Bahru 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Analysis'!$F$102:$F$106</c:f>
              <c:numCache>
                <c:formatCode>"$"#,##0</c:formatCode>
                <c:ptCount val="5"/>
                <c:pt idx="0">
                  <c:v>433950.47722105368</c:v>
                </c:pt>
                <c:pt idx="1">
                  <c:v>417499.2618047776</c:v>
                </c:pt>
                <c:pt idx="2">
                  <c:v>401820.2993328913</c:v>
                </c:pt>
                <c:pt idx="3">
                  <c:v>386870.49402945151</c:v>
                </c:pt>
                <c:pt idx="4">
                  <c:v>372609.5300030706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F1-487F-A009-259977E520A2}"/>
            </c:ext>
          </c:extLst>
        </c:ser>
        <c:ser>
          <c:idx val="5"/>
          <c:order val="5"/>
          <c:tx>
            <c:strRef>
              <c:f>'4. Business Expansion Analysis'!$G$100</c:f>
              <c:strCache>
                <c:ptCount val="1"/>
                <c:pt idx="0">
                  <c:v>Pearl's Hill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Analysis'!$G$102:$G$106</c:f>
              <c:numCache>
                <c:formatCode>"$"#,##0</c:formatCode>
                <c:ptCount val="5"/>
                <c:pt idx="0">
                  <c:v>552285.06605114893</c:v>
                </c:pt>
                <c:pt idx="1">
                  <c:v>531347.74469829921</c:v>
                </c:pt>
                <c:pt idx="2">
                  <c:v>511393.26307207393</c:v>
                </c:pt>
                <c:pt idx="3">
                  <c:v>492366.77354650485</c:v>
                </c:pt>
                <c:pt idx="4">
                  <c:v>474216.96643095522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F1-487F-A009-259977E520A2}"/>
            </c:ext>
          </c:extLst>
        </c:ser>
        <c:ser>
          <c:idx val="6"/>
          <c:order val="6"/>
          <c:tx>
            <c:strRef>
              <c:f>'4. Business Expansion Analysis'!$H$100</c:f>
              <c:strCache>
                <c:ptCount val="1"/>
                <c:pt idx="0">
                  <c:v>31B Keong Saik 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Analysis'!$H$102:$H$106</c:f>
              <c:numCache>
                <c:formatCode>"$"#,##0</c:formatCode>
                <c:ptCount val="5"/>
                <c:pt idx="0">
                  <c:v>600705.2211346085</c:v>
                </c:pt>
                <c:pt idx="1">
                  <c:v>577932.27465036453</c:v>
                </c:pt>
                <c:pt idx="2">
                  <c:v>556228.33580658271</c:v>
                </c:pt>
                <c:pt idx="3">
                  <c:v>535533.74835450458</c:v>
                </c:pt>
                <c:pt idx="4">
                  <c:v>515792.70415997074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F1-487F-A009-259977E520A2}"/>
            </c:ext>
          </c:extLst>
        </c:ser>
        <c:ser>
          <c:idx val="7"/>
          <c:order val="7"/>
          <c:tx>
            <c:strRef>
              <c:f>'4. Business Expansion Analysis'!$I$100</c:f>
              <c:strCache>
                <c:ptCount val="1"/>
                <c:pt idx="0">
                  <c:v> Shenton Way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Analysis'!$I$102:$I$106</c:f>
              <c:numCache>
                <c:formatCode>"$"#,##0</c:formatCode>
                <c:ptCount val="5"/>
                <c:pt idx="0">
                  <c:v>636842.93126768165</c:v>
                </c:pt>
                <c:pt idx="1">
                  <c:v>612699.9914656349</c:v>
                </c:pt>
                <c:pt idx="2">
                  <c:v>589690.36952956847</c:v>
                </c:pt>
                <c:pt idx="3">
                  <c:v>567750.82036190177</c:v>
                </c:pt>
                <c:pt idx="4">
                  <c:v>546822.17847764131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F1-487F-A009-259977E520A2}"/>
            </c:ext>
          </c:extLst>
        </c:ser>
        <c:ser>
          <c:idx val="8"/>
          <c:order val="8"/>
          <c:tx>
            <c:strRef>
              <c:f>'4. Business Expansion Analysis'!$J$100</c:f>
              <c:strCache>
                <c:ptCount val="1"/>
                <c:pt idx="0">
                  <c:v>11A Bukit Pasoh Rd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Analysis'!$J$102:$J$106</c:f>
              <c:numCache>
                <c:formatCode>"$"#,##0</c:formatCode>
                <c:ptCount val="5"/>
                <c:pt idx="0">
                  <c:v>693963.15152433165</c:v>
                </c:pt>
                <c:pt idx="1">
                  <c:v>667654.76405626338</c:v>
                </c:pt>
                <c:pt idx="2">
                  <c:v>642581.34489723947</c:v>
                </c:pt>
                <c:pt idx="3">
                  <c:v>618673.97632032819</c:v>
                </c:pt>
                <c:pt idx="4">
                  <c:v>595868.18612302619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F1-487F-A009-259977E52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2145823"/>
        <c:axId val="504374335"/>
      </c:lineChart>
      <c:catAx>
        <c:axId val="1352145823"/>
        <c:scaling>
          <c:orientation val="minMax"/>
        </c:scaling>
        <c:delete val="0"/>
        <c:axPos val="b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74335"/>
        <c:crosses val="autoZero"/>
        <c:auto val="1"/>
        <c:lblAlgn val="ctr"/>
        <c:lblOffset val="100"/>
        <c:noMultiLvlLbl val="0"/>
      </c:catAx>
      <c:valAx>
        <c:axId val="504374335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14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="1"/>
              <a:t>Pole Tricks </a:t>
            </a:r>
            <a:r>
              <a:rPr lang="en-SG"/>
              <a:t>Price-Enrolment</a:t>
            </a:r>
            <a:r>
              <a:rPr lang="en-SG" baseline="0"/>
              <a:t> Trendline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'1. Pricing Model '!$B$22:$B$25</c:f>
              <c:strCache>
                <c:ptCount val="4"/>
                <c:pt idx="0">
                  <c:v>Tricks - Beginner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9.8433790905905986E-3"/>
                  <c:y val="-5.47306562595439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'!$D$22:$D$25</c:f>
              <c:numCache>
                <c:formatCode>_("$"* #,##0.00_);_("$"* \(#,##0.00\);_("$"* "-"??_);_(@_)</c:formatCode>
                <c:ptCount val="4"/>
                <c:pt idx="0">
                  <c:v>200</c:v>
                </c:pt>
                <c:pt idx="1">
                  <c:v>190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'!$E$22:$E$25</c:f>
              <c:numCache>
                <c:formatCode>0%</c:formatCode>
                <c:ptCount val="4"/>
                <c:pt idx="0">
                  <c:v>0.6</c:v>
                </c:pt>
                <c:pt idx="1">
                  <c:v>0.9</c:v>
                </c:pt>
                <c:pt idx="2">
                  <c:v>0.7</c:v>
                </c:pt>
                <c:pt idx="3">
                  <c:v>0.54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74-4E26-88FA-FD92239A5525}"/>
            </c:ext>
          </c:extLst>
        </c:ser>
        <c:ser>
          <c:idx val="1"/>
          <c:order val="1"/>
          <c:tx>
            <c:strRef>
              <c:f>'1. Pricing Model '!$B$26:$B$29</c:f>
              <c:strCache>
                <c:ptCount val="4"/>
                <c:pt idx="0">
                  <c:v>Tricks - Intermediate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'!$D$26:$D$29</c:f>
              <c:numCache>
                <c:formatCode>_("$"* #,##0.00_);_("$"* \(#,##0.00\);_("$"* "-"??_);_(@_)</c:formatCode>
                <c:ptCount val="4"/>
                <c:pt idx="0">
                  <c:v>230</c:v>
                </c:pt>
                <c:pt idx="1">
                  <c:v>230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'!$E$26:$E$29</c:f>
              <c:numCache>
                <c:formatCode>0%</c:formatCode>
                <c:ptCount val="4"/>
                <c:pt idx="0">
                  <c:v>0.6</c:v>
                </c:pt>
                <c:pt idx="1">
                  <c:v>0.6</c:v>
                </c:pt>
                <c:pt idx="2">
                  <c:v>0.53</c:v>
                </c:pt>
                <c:pt idx="3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74-4E26-88FA-FD92239A5525}"/>
            </c:ext>
          </c:extLst>
        </c:ser>
        <c:ser>
          <c:idx val="2"/>
          <c:order val="2"/>
          <c:tx>
            <c:strRef>
              <c:f>'1. Pricing Model '!$B$30:$B$33</c:f>
              <c:strCache>
                <c:ptCount val="4"/>
                <c:pt idx="0">
                  <c:v>Tricks - Advanced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'!$D$30:$D$33</c:f>
              <c:numCache>
                <c:formatCode>_("$"* #,##0.00_);_("$"* \(#,##0.00\);_("$"* "-"??_);_(@_)</c:formatCode>
                <c:ptCount val="4"/>
                <c:pt idx="0">
                  <c:v>250</c:v>
                </c:pt>
                <c:pt idx="1">
                  <c:v>250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'!$E$30:$E$33</c:f>
              <c:numCache>
                <c:formatCode>0%</c:formatCode>
                <c:ptCount val="4"/>
                <c:pt idx="0">
                  <c:v>0.5</c:v>
                </c:pt>
                <c:pt idx="1">
                  <c:v>0.6</c:v>
                </c:pt>
                <c:pt idx="2">
                  <c:v>0.3</c:v>
                </c:pt>
                <c:pt idx="3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674-4E26-88FA-FD92239A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75039"/>
        <c:axId val="414275871"/>
      </c:scatterChart>
      <c:valAx>
        <c:axId val="414275039"/>
        <c:scaling>
          <c:orientation val="minMax"/>
          <c:min val="1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871"/>
        <c:crosses val="autoZero"/>
        <c:crossBetween val="midCat"/>
      </c:valAx>
      <c:valAx>
        <c:axId val="414275871"/>
        <c:scaling>
          <c:orientation val="minMax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="1"/>
              <a:t>Choreography</a:t>
            </a:r>
            <a:r>
              <a:rPr lang="en-SG" baseline="0"/>
              <a:t> </a:t>
            </a:r>
            <a:r>
              <a:rPr lang="en-SG"/>
              <a:t>Price-Enrolment</a:t>
            </a:r>
            <a:r>
              <a:rPr lang="en-SG" baseline="0"/>
              <a:t> Trendline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'1. Pricing Model '!$B$34:$B$37</c:f>
              <c:strCache>
                <c:ptCount val="4"/>
                <c:pt idx="0">
                  <c:v>Choreography - Beginner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9121135159983284E-2"/>
                  <c:y val="-0.227993946111470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'!$D$34:$D$37</c:f>
              <c:numCache>
                <c:formatCode>_("$"* #,##0.00_);_("$"* \(#,##0.00\);_("$"* "-"??_);_(@_)</c:formatCode>
                <c:ptCount val="4"/>
                <c:pt idx="0">
                  <c:v>278</c:v>
                </c:pt>
                <c:pt idx="1">
                  <c:v>240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'!$E$34:$E$37</c:f>
              <c:numCache>
                <c:formatCode>0%</c:formatCode>
                <c:ptCount val="4"/>
                <c:pt idx="0">
                  <c:v>0.55000000000000004</c:v>
                </c:pt>
                <c:pt idx="1">
                  <c:v>0.8</c:v>
                </c:pt>
                <c:pt idx="2">
                  <c:v>0.65</c:v>
                </c:pt>
                <c:pt idx="3">
                  <c:v>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A6-4C88-97B1-89D7E1CEAB6C}"/>
            </c:ext>
          </c:extLst>
        </c:ser>
        <c:ser>
          <c:idx val="1"/>
          <c:order val="1"/>
          <c:tx>
            <c:strRef>
              <c:f>'1. Pricing Model '!$B$38:$B$41</c:f>
              <c:strCache>
                <c:ptCount val="4"/>
                <c:pt idx="0">
                  <c:v>Choreography - Intermediate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9577003876242707"/>
                  <c:y val="-3.7423809251426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'!$D$38:$D$41</c:f>
              <c:numCache>
                <c:formatCode>_("$"* #,##0.00_);_("$"* \(#,##0.00\);_("$"* "-"??_);_(@_)</c:formatCode>
                <c:ptCount val="4"/>
                <c:pt idx="0">
                  <c:v>278</c:v>
                </c:pt>
                <c:pt idx="1">
                  <c:v>240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'!$E$38:$E$41</c:f>
              <c:numCache>
                <c:formatCode>0%</c:formatCode>
                <c:ptCount val="4"/>
                <c:pt idx="0">
                  <c:v>0.65</c:v>
                </c:pt>
                <c:pt idx="1">
                  <c:v>0.7</c:v>
                </c:pt>
                <c:pt idx="2">
                  <c:v>0.55000000000000004</c:v>
                </c:pt>
                <c:pt idx="3">
                  <c:v>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A6-4C88-97B1-89D7E1CEAB6C}"/>
            </c:ext>
          </c:extLst>
        </c:ser>
        <c:ser>
          <c:idx val="2"/>
          <c:order val="2"/>
          <c:tx>
            <c:strRef>
              <c:f>'1. Pricing Model '!$B$42:$B$45</c:f>
              <c:strCache>
                <c:ptCount val="4"/>
                <c:pt idx="0">
                  <c:v>Choreography - Advanced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5918752232949004"/>
                  <c:y val="0.230911166344869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'!$D$42:$D$45</c:f>
              <c:numCache>
                <c:formatCode>_("$"* #,##0.00_);_("$"* \(#,##0.00\);_("$"* "-"??_);_(@_)</c:formatCode>
                <c:ptCount val="4"/>
                <c:pt idx="0">
                  <c:v>278</c:v>
                </c:pt>
                <c:pt idx="1">
                  <c:v>240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'!$E$42:$E$45</c:f>
              <c:numCache>
                <c:formatCode>0%</c:formatCode>
                <c:ptCount val="4"/>
                <c:pt idx="0">
                  <c:v>0.7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DA6-4C88-97B1-89D7E1CEAB6C}"/>
            </c:ext>
          </c:extLst>
        </c:ser>
        <c:ser>
          <c:idx val="3"/>
          <c:order val="3"/>
          <c:tx>
            <c:strRef>
              <c:f>'1. Pricing Model '!$B$46:$B$49</c:f>
              <c:strCache>
                <c:ptCount val="4"/>
                <c:pt idx="0">
                  <c:v>Choreography - 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51510178962884E-2"/>
                  <c:y val="0.128708807170267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'!$D$46:$D$49</c:f>
              <c:numCache>
                <c:formatCode>_("$"* #,##0.00_);_("$"* \(#,##0.00\);_("$"* "-"??_);_(@_)</c:formatCode>
                <c:ptCount val="4"/>
                <c:pt idx="0">
                  <c:v>278</c:v>
                </c:pt>
                <c:pt idx="1">
                  <c:v>240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'!$E$46:$E$49</c:f>
              <c:numCache>
                <c:formatCode>0%</c:formatCode>
                <c:ptCount val="4"/>
                <c:pt idx="0">
                  <c:v>0.55000000000000004</c:v>
                </c:pt>
                <c:pt idx="1">
                  <c:v>0.7</c:v>
                </c:pt>
                <c:pt idx="2">
                  <c:v>0.7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DA6-4C88-97B1-89D7E1CEAB6C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'1. Pricing Model '!$D$34:$D$37</c:f>
              <c:numCache>
                <c:formatCode>_("$"* #,##0.00_);_("$"* \(#,##0.00\);_("$"* "-"??_);_(@_)</c:formatCode>
                <c:ptCount val="4"/>
                <c:pt idx="0">
                  <c:v>278</c:v>
                </c:pt>
                <c:pt idx="1">
                  <c:v>240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'!$F$30</c:f>
              <c:numCache>
                <c:formatCode>General</c:formatCode>
                <c:ptCount val="1"/>
                <c:pt idx="0">
                  <c:v>-1.2499999999999995E-2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DA6-4C88-97B1-89D7E1CEA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75039"/>
        <c:axId val="414275871"/>
      </c:scatterChart>
      <c:valAx>
        <c:axId val="414275039"/>
        <c:scaling>
          <c:orientation val="minMax"/>
          <c:min val="2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871"/>
        <c:crosses val="autoZero"/>
        <c:crossBetween val="midCat"/>
      </c:valAx>
      <c:valAx>
        <c:axId val="414275871"/>
        <c:scaling>
          <c:orientation val="minMax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Enrolment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9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="1"/>
              <a:t>Conditioning</a:t>
            </a:r>
            <a:r>
              <a:rPr lang="en-SG" baseline="0"/>
              <a:t> </a:t>
            </a:r>
            <a:r>
              <a:rPr lang="en-SG"/>
              <a:t>Price-Enrolment</a:t>
            </a:r>
            <a:r>
              <a:rPr lang="en-SG" baseline="0"/>
              <a:t> Trendline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'1. Pricing Model '!$B$50:$B$53</c:f>
              <c:strCache>
                <c:ptCount val="4"/>
                <c:pt idx="0">
                  <c:v>Conditioning for Pole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'1. Pricing Model '!$D$50:$D$53</c:f>
              <c:numCache>
                <c:formatCode>_("$"* #,##0.00_);_("$"* \(#,##0.00\);_("$"* "-"??_);_(@_)</c:formatCode>
                <c:ptCount val="4"/>
                <c:pt idx="0">
                  <c:v>210</c:v>
                </c:pt>
                <c:pt idx="1">
                  <c:v>180</c:v>
                </c:pt>
                <c:pt idx="2">
                  <c:v>200</c:v>
                </c:pt>
                <c:pt idx="3">
                  <c:v>180</c:v>
                </c:pt>
              </c:numCache>
            </c:numRef>
          </c:xVal>
          <c:yVal>
            <c:numRef>
              <c:f>'1. Pricing Model '!$E$50:$E$53</c:f>
              <c:numCache>
                <c:formatCode>0%</c:formatCode>
                <c:ptCount val="4"/>
                <c:pt idx="0">
                  <c:v>0.52</c:v>
                </c:pt>
                <c:pt idx="1">
                  <c:v>0.6</c:v>
                </c:pt>
                <c:pt idx="2">
                  <c:v>0.57999999999999996</c:v>
                </c:pt>
                <c:pt idx="3">
                  <c:v>0.62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95-497C-B215-EAE2C9741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75039"/>
        <c:axId val="414275871"/>
      </c:scatterChart>
      <c:valAx>
        <c:axId val="414275039"/>
        <c:scaling>
          <c:orientation val="minMax"/>
          <c:min val="1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871"/>
        <c:crosses val="autoZero"/>
        <c:crossBetween val="midCat"/>
      </c:valAx>
      <c:valAx>
        <c:axId val="414275871"/>
        <c:scaling>
          <c:orientation val="minMax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="1"/>
              <a:t>Pole Tricks </a:t>
            </a:r>
            <a:r>
              <a:rPr lang="en-SG"/>
              <a:t>Price-Enrolment</a:t>
            </a:r>
            <a:r>
              <a:rPr lang="en-SG" baseline="0"/>
              <a:t> Trendline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'1. Pricing Model '!$B$22:$B$25</c:f>
              <c:strCache>
                <c:ptCount val="4"/>
                <c:pt idx="0">
                  <c:v>Tricks - Beginner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6.2250109169967576E-4"/>
                  <c:y val="-0.152981987549532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'!$D$22:$D$25</c:f>
              <c:numCache>
                <c:formatCode>_("$"* #,##0.00_);_("$"* \(#,##0.00\);_("$"* "-"??_);_(@_)</c:formatCode>
                <c:ptCount val="4"/>
                <c:pt idx="0">
                  <c:v>200</c:v>
                </c:pt>
                <c:pt idx="1">
                  <c:v>190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'!$E$22:$E$25</c:f>
              <c:numCache>
                <c:formatCode>0%</c:formatCode>
                <c:ptCount val="4"/>
                <c:pt idx="0">
                  <c:v>0.6</c:v>
                </c:pt>
                <c:pt idx="1">
                  <c:v>0.9</c:v>
                </c:pt>
                <c:pt idx="2">
                  <c:v>0.7</c:v>
                </c:pt>
                <c:pt idx="3">
                  <c:v>0.54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E0-488A-8C15-3488D7FC1797}"/>
            </c:ext>
          </c:extLst>
        </c:ser>
        <c:ser>
          <c:idx val="1"/>
          <c:order val="1"/>
          <c:tx>
            <c:strRef>
              <c:f>'1. Pricing Model '!$B$26:$B$29</c:f>
              <c:strCache>
                <c:ptCount val="4"/>
                <c:pt idx="0">
                  <c:v>Tricks - Intermediate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7046250754530015"/>
                  <c:y val="-2.36055230858036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'!$D$26:$D$29</c:f>
              <c:numCache>
                <c:formatCode>_("$"* #,##0.00_);_("$"* \(#,##0.00\);_("$"* "-"??_);_(@_)</c:formatCode>
                <c:ptCount val="4"/>
                <c:pt idx="0">
                  <c:v>230</c:v>
                </c:pt>
                <c:pt idx="1">
                  <c:v>230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'!$E$26:$E$29</c:f>
              <c:numCache>
                <c:formatCode>0%</c:formatCode>
                <c:ptCount val="4"/>
                <c:pt idx="0">
                  <c:v>0.6</c:v>
                </c:pt>
                <c:pt idx="1">
                  <c:v>0.6</c:v>
                </c:pt>
                <c:pt idx="2">
                  <c:v>0.53</c:v>
                </c:pt>
                <c:pt idx="3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E0-488A-8C15-3488D7FC1797}"/>
            </c:ext>
          </c:extLst>
        </c:ser>
        <c:ser>
          <c:idx val="2"/>
          <c:order val="2"/>
          <c:tx>
            <c:strRef>
              <c:f>'1. Pricing Model '!$B$30:$B$33</c:f>
              <c:strCache>
                <c:ptCount val="4"/>
                <c:pt idx="0">
                  <c:v>Tricks - Advanced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'!$D$30:$D$33</c:f>
              <c:numCache>
                <c:formatCode>_("$"* #,##0.00_);_("$"* \(#,##0.00\);_("$"* "-"??_);_(@_)</c:formatCode>
                <c:ptCount val="4"/>
                <c:pt idx="0">
                  <c:v>250</c:v>
                </c:pt>
                <c:pt idx="1">
                  <c:v>250</c:v>
                </c:pt>
                <c:pt idx="2">
                  <c:v>260</c:v>
                </c:pt>
                <c:pt idx="3">
                  <c:v>260</c:v>
                </c:pt>
              </c:numCache>
            </c:numRef>
          </c:xVal>
          <c:yVal>
            <c:numRef>
              <c:f>'1. Pricing Model '!$E$30:$E$33</c:f>
              <c:numCache>
                <c:formatCode>0%</c:formatCode>
                <c:ptCount val="4"/>
                <c:pt idx="0">
                  <c:v>0.5</c:v>
                </c:pt>
                <c:pt idx="1">
                  <c:v>0.6</c:v>
                </c:pt>
                <c:pt idx="2">
                  <c:v>0.3</c:v>
                </c:pt>
                <c:pt idx="3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6E0-488A-8C15-3488D7FC1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75039"/>
        <c:axId val="414275871"/>
      </c:scatterChart>
      <c:valAx>
        <c:axId val="414275039"/>
        <c:scaling>
          <c:orientation val="minMax"/>
          <c:min val="1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871"/>
        <c:crosses val="autoZero"/>
        <c:crossBetween val="midCat"/>
      </c:valAx>
      <c:valAx>
        <c:axId val="414275871"/>
        <c:scaling>
          <c:orientation val="minMax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Enrolment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="1"/>
              <a:t>Conditioning</a:t>
            </a:r>
            <a:r>
              <a:rPr lang="en-SG" baseline="0"/>
              <a:t> </a:t>
            </a:r>
            <a:r>
              <a:rPr lang="en-SG"/>
              <a:t>Price-Enrolment</a:t>
            </a:r>
            <a:r>
              <a:rPr lang="en-SG" baseline="0"/>
              <a:t> Trendline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'1. Pricing Model '!$B$50:$B$53</c:f>
              <c:strCache>
                <c:ptCount val="4"/>
                <c:pt idx="0">
                  <c:v>Conditioning for Pole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6.2752125413671117E-2"/>
                  <c:y val="5.462680135828926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'1. Pricing Model '!$D$50:$D$53</c:f>
              <c:numCache>
                <c:formatCode>_("$"* #,##0.00_);_("$"* \(#,##0.00\);_("$"* "-"??_);_(@_)</c:formatCode>
                <c:ptCount val="4"/>
                <c:pt idx="0">
                  <c:v>210</c:v>
                </c:pt>
                <c:pt idx="1">
                  <c:v>180</c:v>
                </c:pt>
                <c:pt idx="2">
                  <c:v>200</c:v>
                </c:pt>
                <c:pt idx="3">
                  <c:v>180</c:v>
                </c:pt>
              </c:numCache>
            </c:numRef>
          </c:xVal>
          <c:yVal>
            <c:numRef>
              <c:f>'1. Pricing Model '!$E$50:$E$53</c:f>
              <c:numCache>
                <c:formatCode>0%</c:formatCode>
                <c:ptCount val="4"/>
                <c:pt idx="0">
                  <c:v>0.52</c:v>
                </c:pt>
                <c:pt idx="1">
                  <c:v>0.6</c:v>
                </c:pt>
                <c:pt idx="2">
                  <c:v>0.57999999999999996</c:v>
                </c:pt>
                <c:pt idx="3">
                  <c:v>0.62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B3-4C67-9C18-52532B654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75039"/>
        <c:axId val="414275871"/>
      </c:scatterChart>
      <c:valAx>
        <c:axId val="414275039"/>
        <c:scaling>
          <c:orientation val="minMax"/>
          <c:min val="1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871"/>
        <c:crosses val="autoZero"/>
        <c:crossBetween val="midCat"/>
      </c:valAx>
      <c:valAx>
        <c:axId val="414275871"/>
        <c:scaling>
          <c:orientation val="minMax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Enrolment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75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="1"/>
              <a:t>Profit against different class prices for different enrolment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60%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'1. Pricing Model '!$C$91:$H$91</c:f>
              <c:numCache>
                <c:formatCode>_("$"* #,##0.00_);_("$"* \(#,##0.00\);_("$"* "-"??_);_(@_)</c:formatCode>
                <c:ptCount val="6"/>
                <c:pt idx="0">
                  <c:v>54845.151313969574</c:v>
                </c:pt>
                <c:pt idx="1">
                  <c:v>55685.151313969574</c:v>
                </c:pt>
                <c:pt idx="2">
                  <c:v>56525.151313969574</c:v>
                </c:pt>
                <c:pt idx="3">
                  <c:v>57365.151313969574</c:v>
                </c:pt>
                <c:pt idx="4">
                  <c:v>58205.151313969574</c:v>
                </c:pt>
                <c:pt idx="5">
                  <c:v>59045.151313969574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'1. Pricing Model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0E4-40FB-9368-622A6E61D7A3}"/>
            </c:ext>
          </c:extLst>
        </c:ser>
        <c:ser>
          <c:idx val="1"/>
          <c:order val="1"/>
          <c:tx>
            <c:strRef>
              <c:f>'1. Pricing Model '!$B$92</c:f>
              <c:strCache>
                <c:ptCount val="1"/>
                <c:pt idx="0">
                  <c:v>70%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'1. Pricing Model '!$C$92:$H$92</c:f>
              <c:numCache>
                <c:formatCode>_("$"* #,##0.00_);_("$"* \(#,##0.00\);_("$"* "-"??_);_(@_)</c:formatCode>
                <c:ptCount val="6"/>
                <c:pt idx="0">
                  <c:v>58345.151313969574</c:v>
                </c:pt>
                <c:pt idx="1">
                  <c:v>59325.151313969574</c:v>
                </c:pt>
                <c:pt idx="2">
                  <c:v>60305.151313969574</c:v>
                </c:pt>
                <c:pt idx="3">
                  <c:v>61285.151313969574</c:v>
                </c:pt>
                <c:pt idx="4">
                  <c:v>62265.151313969574</c:v>
                </c:pt>
                <c:pt idx="5">
                  <c:v>63245.151313969574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'1. Pricing Model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0E4-40FB-9368-622A6E61D7A3}"/>
            </c:ext>
          </c:extLst>
        </c:ser>
        <c:ser>
          <c:idx val="2"/>
          <c:order val="2"/>
          <c:tx>
            <c:v>80%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'1. Pricing Model '!$C$93:$H$93</c:f>
              <c:numCache>
                <c:formatCode>_("$"* #,##0.00_);_("$"* \(#,##0.00\);_("$"* "-"??_);_(@_)</c:formatCode>
                <c:ptCount val="6"/>
                <c:pt idx="0">
                  <c:v>61845.151313969574</c:v>
                </c:pt>
                <c:pt idx="1">
                  <c:v>62965.151313969574</c:v>
                </c:pt>
                <c:pt idx="2">
                  <c:v>64085.151313969574</c:v>
                </c:pt>
                <c:pt idx="3">
                  <c:v>65205.151313969574</c:v>
                </c:pt>
                <c:pt idx="4">
                  <c:v>66325.151313969574</c:v>
                </c:pt>
                <c:pt idx="5">
                  <c:v>67445.151313969574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'1. Pricing Model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E0E4-40FB-9368-622A6E61D7A3}"/>
            </c:ext>
          </c:extLst>
        </c:ser>
        <c:ser>
          <c:idx val="3"/>
          <c:order val="3"/>
          <c:tx>
            <c:v>90%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'1. Pricing Model '!$C$94:$H$94</c:f>
              <c:numCache>
                <c:formatCode>_("$"* #,##0.00_);_("$"* \(#,##0.00\);_("$"* "-"??_);_(@_)</c:formatCode>
                <c:ptCount val="6"/>
                <c:pt idx="0">
                  <c:v>65345.151313969574</c:v>
                </c:pt>
                <c:pt idx="1">
                  <c:v>66605.151313969574</c:v>
                </c:pt>
                <c:pt idx="2">
                  <c:v>67865.151313969574</c:v>
                </c:pt>
                <c:pt idx="3">
                  <c:v>69125.151313969545</c:v>
                </c:pt>
                <c:pt idx="4">
                  <c:v>70385.151313969545</c:v>
                </c:pt>
                <c:pt idx="5">
                  <c:v>71645.151313969545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'1. Pricing Model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E0E4-40FB-9368-622A6E61D7A3}"/>
            </c:ext>
          </c:extLst>
        </c:ser>
        <c:ser>
          <c:idx val="4"/>
          <c:order val="4"/>
          <c:tx>
            <c:v>100%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'1. Pricing Model '!$C$95:$H$95</c:f>
              <c:numCache>
                <c:formatCode>_("$"* #,##0.00_);_("$"* \(#,##0.00\);_("$"* "-"??_);_(@_)</c:formatCode>
                <c:ptCount val="6"/>
                <c:pt idx="0">
                  <c:v>68845.151313969545</c:v>
                </c:pt>
                <c:pt idx="1">
                  <c:v>70245.151313969545</c:v>
                </c:pt>
                <c:pt idx="2">
                  <c:v>71645.151313969545</c:v>
                </c:pt>
                <c:pt idx="3">
                  <c:v>73045.151313969545</c:v>
                </c:pt>
                <c:pt idx="4">
                  <c:v>74445.151313969545</c:v>
                </c:pt>
                <c:pt idx="5">
                  <c:v>75845.151313969545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'1. Pricing Model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E0E4-40FB-9368-622A6E61D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214911"/>
        <c:axId val="732744079"/>
      </c:lineChart>
      <c:catAx>
        <c:axId val="973214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44079"/>
        <c:crosses val="autoZero"/>
        <c:auto val="1"/>
        <c:lblAlgn val="ctr"/>
        <c:lblOffset val="100"/>
        <c:noMultiLvlLbl val="0"/>
      </c:catAx>
      <c:valAx>
        <c:axId val="732744079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214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Recommended Vs Current number of class runs</a:t>
            </a:r>
          </a:p>
        </c:rich>
      </c:tx>
      <c:overlay val="0"/>
      <c:spPr>
        <a:solidFill>
          <a:srgbClr val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Current</c:v>
          </c:tx>
          <c:spPr>
            <a:solidFill>
              <a:schemeClr val="accent2"/>
            </a:solidFill>
            <a:ln>
              <a:solidFill>
                <a:srgbClr val="F4B084"/>
              </a:solidFill>
              <a:prstDash val="solid"/>
            </a:ln>
            <a:effectLst/>
          </c:spPr>
          <c:invertIfNegative val="0"/>
          <c:cat>
            <c:strRef>
              <c:f>'2. Class Run Optimiser'!$B$38:$B$45</c:f>
              <c:strCache>
                <c:ptCount val="8"/>
                <c:pt idx="0">
                  <c:v>Pole Tricks - Beginner</c:v>
                </c:pt>
                <c:pt idx="1">
                  <c:v>Pole Tricks - Intermediate</c:v>
                </c:pt>
                <c:pt idx="2">
                  <c:v>Pole Tricks - Advanced</c:v>
                </c:pt>
                <c:pt idx="3">
                  <c:v>Choreography - Beginner</c:v>
                </c:pt>
                <c:pt idx="4">
                  <c:v>Choreography - Intermediate</c:v>
                </c:pt>
                <c:pt idx="5">
                  <c:v>Choreography - Advanced</c:v>
                </c:pt>
                <c:pt idx="6">
                  <c:v>Choreography - Open</c:v>
                </c:pt>
                <c:pt idx="7">
                  <c:v>Conditioning for Pole</c:v>
                </c:pt>
              </c:strCache>
            </c:strRef>
          </c:cat>
          <c:val>
            <c:numRef>
              <c:f>'2. Class Run Optimiser'!$E$38:$E$45</c:f>
              <c:numCache>
                <c:formatCode>General</c:formatCode>
                <c:ptCount val="8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9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F8-47DC-ADD3-3D0C93B15941}"/>
            </c:ext>
          </c:extLst>
        </c:ser>
        <c:ser>
          <c:idx val="0"/>
          <c:order val="1"/>
          <c:tx>
            <c:v>Recommended</c:v>
          </c:tx>
          <c:spPr>
            <a:solidFill>
              <a:schemeClr val="accent1"/>
            </a:solidFill>
            <a:ln>
              <a:solidFill>
                <a:srgbClr val="305496"/>
              </a:solidFill>
              <a:prstDash val="solid"/>
            </a:ln>
            <a:effectLst/>
          </c:spPr>
          <c:invertIfNegative val="0"/>
          <c:cat>
            <c:strRef>
              <c:f>'2. Class Run Optimiser'!$B$38:$B$45</c:f>
              <c:strCache>
                <c:ptCount val="8"/>
                <c:pt idx="0">
                  <c:v>Pole Tricks - Beginner</c:v>
                </c:pt>
                <c:pt idx="1">
                  <c:v>Pole Tricks - Intermediate</c:v>
                </c:pt>
                <c:pt idx="2">
                  <c:v>Pole Tricks - Advanced</c:v>
                </c:pt>
                <c:pt idx="3">
                  <c:v>Choreography - Beginner</c:v>
                </c:pt>
                <c:pt idx="4">
                  <c:v>Choreography - Intermediate</c:v>
                </c:pt>
                <c:pt idx="5">
                  <c:v>Choreography - Advanced</c:v>
                </c:pt>
                <c:pt idx="6">
                  <c:v>Choreography - Open</c:v>
                </c:pt>
                <c:pt idx="7">
                  <c:v>Conditioning for Pole</c:v>
                </c:pt>
              </c:strCache>
            </c:strRef>
          </c:cat>
          <c:val>
            <c:numRef>
              <c:f>'2. Class Run Optimiser'!$C$38:$C$45</c:f>
              <c:numCache>
                <c:formatCode>General</c:formatCode>
                <c:ptCount val="8"/>
                <c:pt idx="0">
                  <c:v>6</c:v>
                </c:pt>
                <c:pt idx="1">
                  <c:v>1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8-47DC-ADD3-3D0C93B15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3546295"/>
        <c:axId val="2093256296"/>
      </c:barChart>
      <c:lineChart>
        <c:grouping val="standard"/>
        <c:varyColors val="0"/>
        <c:ser>
          <c:idx val="2"/>
          <c:order val="2"/>
          <c:tx>
            <c:v>Delta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'2. Class Run Optimiser'!$J$38:$J$45</c:f>
              <c:numCache>
                <c:formatCode>General</c:formatCode>
                <c:ptCount val="8"/>
                <c:pt idx="0">
                  <c:v>3</c:v>
                </c:pt>
                <c:pt idx="1">
                  <c:v>-4</c:v>
                </c:pt>
                <c:pt idx="2">
                  <c:v>2</c:v>
                </c:pt>
                <c:pt idx="3">
                  <c:v>4</c:v>
                </c:pt>
                <c:pt idx="4">
                  <c:v>-1</c:v>
                </c:pt>
                <c:pt idx="5">
                  <c:v>2</c:v>
                </c:pt>
                <c:pt idx="6">
                  <c:v>-5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76-4321-9D24-B7ECE399E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7614688"/>
        <c:axId val="1161582784"/>
      </c:lineChart>
      <c:catAx>
        <c:axId val="983546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256296"/>
        <c:crosses val="autoZero"/>
        <c:auto val="1"/>
        <c:lblAlgn val="ctr"/>
        <c:lblOffset val="100"/>
        <c:noMultiLvlLbl val="0"/>
      </c:catAx>
      <c:valAx>
        <c:axId val="209325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546295"/>
        <c:crosses val="autoZero"/>
        <c:crossBetween val="between"/>
      </c:valAx>
      <c:valAx>
        <c:axId val="1161582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614688"/>
        <c:crosses val="max"/>
        <c:crossBetween val="between"/>
      </c:valAx>
      <c:catAx>
        <c:axId val="126761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1161582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Generated Each Month From Three Channels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v>Instagram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Customer_relations'!$B$9:$Y$9</c:f>
              <c:numCache>
                <c:formatCode>"$"#,##0</c:formatCode>
                <c:ptCount val="24"/>
                <c:pt idx="0">
                  <c:v>798.1154396078424</c:v>
                </c:pt>
                <c:pt idx="1">
                  <c:v>707.50582043590418</c:v>
                </c:pt>
                <c:pt idx="2">
                  <c:v>1147.7218448124156</c:v>
                </c:pt>
                <c:pt idx="3">
                  <c:v>2001.4493133569799</c:v>
                </c:pt>
                <c:pt idx="4">
                  <c:v>2918.1165283891464</c:v>
                </c:pt>
                <c:pt idx="5">
                  <c:v>1788.3504647445197</c:v>
                </c:pt>
                <c:pt idx="6">
                  <c:v>831.42543252902624</c:v>
                </c:pt>
                <c:pt idx="7">
                  <c:v>2061.1390101876009</c:v>
                </c:pt>
                <c:pt idx="8">
                  <c:v>1655.6741764305843</c:v>
                </c:pt>
                <c:pt idx="9">
                  <c:v>413.07302337967354</c:v>
                </c:pt>
                <c:pt idx="10">
                  <c:v>1144.7268439842712</c:v>
                </c:pt>
                <c:pt idx="11">
                  <c:v>853.64558859938688</c:v>
                </c:pt>
                <c:pt idx="12">
                  <c:v>1098.5209992662481</c:v>
                </c:pt>
                <c:pt idx="13">
                  <c:v>1207.5665555169444</c:v>
                </c:pt>
                <c:pt idx="14">
                  <c:v>1631.6241159079655</c:v>
                </c:pt>
                <c:pt idx="15">
                  <c:v>1340.2711106596216</c:v>
                </c:pt>
                <c:pt idx="16">
                  <c:v>4856.4795903884142</c:v>
                </c:pt>
                <c:pt idx="17">
                  <c:v>6210.8007932387181</c:v>
                </c:pt>
                <c:pt idx="18">
                  <c:v>6858.485546034316</c:v>
                </c:pt>
                <c:pt idx="19">
                  <c:v>3455.0717938424791</c:v>
                </c:pt>
                <c:pt idx="20">
                  <c:v>2059.5992437622608</c:v>
                </c:pt>
                <c:pt idx="21">
                  <c:v>2639.8079336807682</c:v>
                </c:pt>
                <c:pt idx="22">
                  <c:v>2889.097833034441</c:v>
                </c:pt>
                <c:pt idx="23">
                  <c:v>3452.4320161708115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32-4223-8157-18C69B7C4D16}"/>
            </c:ext>
          </c:extLst>
        </c:ser>
        <c:ser>
          <c:idx val="14"/>
          <c:order val="1"/>
          <c:tx>
            <c:v>Tiktok</c:v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Customer_relations'!$B$17:$Y$17</c:f>
              <c:numCache>
                <c:formatCode>"$"#,##0</c:formatCode>
                <c:ptCount val="24"/>
                <c:pt idx="0">
                  <c:v>1015.8411655988584</c:v>
                </c:pt>
                <c:pt idx="1">
                  <c:v>2929.7726696067907</c:v>
                </c:pt>
                <c:pt idx="2">
                  <c:v>3876.3944095777888</c:v>
                </c:pt>
                <c:pt idx="3">
                  <c:v>6509.118219303642</c:v>
                </c:pt>
                <c:pt idx="4">
                  <c:v>6318.909068830686</c:v>
                </c:pt>
                <c:pt idx="5">
                  <c:v>2110.6560779013566</c:v>
                </c:pt>
                <c:pt idx="6">
                  <c:v>7116.3465424273709</c:v>
                </c:pt>
                <c:pt idx="7">
                  <c:v>5606.4671638894097</c:v>
                </c:pt>
                <c:pt idx="8">
                  <c:v>8911.2755838644516</c:v>
                </c:pt>
                <c:pt idx="9">
                  <c:v>11925.240930099013</c:v>
                </c:pt>
                <c:pt idx="10">
                  <c:v>5179.8818535389373</c:v>
                </c:pt>
                <c:pt idx="11">
                  <c:v>2934.0443669322372</c:v>
                </c:pt>
                <c:pt idx="12">
                  <c:v>5182.1407262644498</c:v>
                </c:pt>
                <c:pt idx="13">
                  <c:v>8367.4948509949645</c:v>
                </c:pt>
                <c:pt idx="14">
                  <c:v>7553.1113406319373</c:v>
                </c:pt>
                <c:pt idx="15">
                  <c:v>12233.808085085115</c:v>
                </c:pt>
                <c:pt idx="16">
                  <c:v>4022.091663411783</c:v>
                </c:pt>
                <c:pt idx="17">
                  <c:v>8470.1216626873938</c:v>
                </c:pt>
                <c:pt idx="18">
                  <c:v>10421.508608704793</c:v>
                </c:pt>
                <c:pt idx="19">
                  <c:v>6729.6938089981295</c:v>
                </c:pt>
                <c:pt idx="20">
                  <c:v>9847.7988898624972</c:v>
                </c:pt>
                <c:pt idx="21">
                  <c:v>10125.586061749505</c:v>
                </c:pt>
                <c:pt idx="22">
                  <c:v>8891.027686326257</c:v>
                </c:pt>
                <c:pt idx="23">
                  <c:v>10277.649163919174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32-4223-8157-18C69B7C4D16}"/>
            </c:ext>
          </c:extLst>
        </c:ser>
        <c:ser>
          <c:idx val="22"/>
          <c:order val="2"/>
          <c:tx>
            <c:v>Email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Customer_relations'!$B$25:$Y$25</c:f>
              <c:numCache>
                <c:formatCode>"$"#,##0</c:formatCode>
                <c:ptCount val="24"/>
                <c:pt idx="0">
                  <c:v>519.43971982007986</c:v>
                </c:pt>
                <c:pt idx="1">
                  <c:v>245.01180313384489</c:v>
                </c:pt>
                <c:pt idx="2">
                  <c:v>226.50712690386166</c:v>
                </c:pt>
                <c:pt idx="3">
                  <c:v>354.33134671044957</c:v>
                </c:pt>
                <c:pt idx="4">
                  <c:v>695.69847867586952</c:v>
                </c:pt>
                <c:pt idx="5">
                  <c:v>448.0965540011648</c:v>
                </c:pt>
                <c:pt idx="6">
                  <c:v>938.61731343196209</c:v>
                </c:pt>
                <c:pt idx="7">
                  <c:v>638.04845182076338</c:v>
                </c:pt>
                <c:pt idx="8">
                  <c:v>640.07027324697242</c:v>
                </c:pt>
                <c:pt idx="9">
                  <c:v>326.01176496370715</c:v>
                </c:pt>
                <c:pt idx="10">
                  <c:v>189.28711691467953</c:v>
                </c:pt>
                <c:pt idx="11">
                  <c:v>193.55648502519995</c:v>
                </c:pt>
                <c:pt idx="12">
                  <c:v>512.72121363088934</c:v>
                </c:pt>
                <c:pt idx="13">
                  <c:v>1280.5400515341521</c:v>
                </c:pt>
                <c:pt idx="14">
                  <c:v>1269.0015978496565</c:v>
                </c:pt>
                <c:pt idx="15">
                  <c:v>1318.6933694769043</c:v>
                </c:pt>
                <c:pt idx="16">
                  <c:v>979.072656449904</c:v>
                </c:pt>
                <c:pt idx="17">
                  <c:v>144.86777693131128</c:v>
                </c:pt>
                <c:pt idx="18">
                  <c:v>164.68420000927591</c:v>
                </c:pt>
                <c:pt idx="19">
                  <c:v>150.81035557201281</c:v>
                </c:pt>
                <c:pt idx="20">
                  <c:v>355.9414028296859</c:v>
                </c:pt>
                <c:pt idx="21">
                  <c:v>311.06193386109135</c:v>
                </c:pt>
                <c:pt idx="22">
                  <c:v>920.26180384478528</c:v>
                </c:pt>
                <c:pt idx="23">
                  <c:v>420.38824037761913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032-4223-8157-18C69B7C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8608080"/>
        <c:axId val="1043144432"/>
      </c:barChart>
      <c:dateAx>
        <c:axId val="1486080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144432"/>
        <c:crosses val="autoZero"/>
        <c:auto val="1"/>
        <c:lblOffset val="100"/>
        <c:baseTimeUnit val="months"/>
      </c:dateAx>
      <c:valAx>
        <c:axId val="104314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0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084049045707742"/>
          <c:y val="0.91851432526925869"/>
          <c:w val="0.39974281221438146"/>
          <c:h val="6.28604782129197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</a:t>
            </a:r>
            <a:r>
              <a:rPr lang="en-US" baseline="0"/>
              <a:t> Per Acquisition on Each Platform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'3. Customer_relations'!$A$8</c:f>
              <c:strCache>
                <c:ptCount val="1"/>
                <c:pt idx="0">
                  <c:v>CPA Insta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Customer_relations'!$B$8:$Y$8</c:f>
              <c:numCache>
                <c:formatCode>"$"#,##0</c:formatCode>
                <c:ptCount val="24"/>
                <c:pt idx="0">
                  <c:v>9.0212513662657017</c:v>
                </c:pt>
                <c:pt idx="1">
                  <c:v>0</c:v>
                </c:pt>
                <c:pt idx="2">
                  <c:v>0</c:v>
                </c:pt>
                <c:pt idx="3">
                  <c:v>8.6337435001122742</c:v>
                </c:pt>
                <c:pt idx="4">
                  <c:v>0</c:v>
                </c:pt>
                <c:pt idx="5">
                  <c:v>6.4416903884920149</c:v>
                </c:pt>
                <c:pt idx="6">
                  <c:v>0</c:v>
                </c:pt>
                <c:pt idx="7">
                  <c:v>0.70330045321303214</c:v>
                </c:pt>
                <c:pt idx="8">
                  <c:v>19.418313372086306</c:v>
                </c:pt>
                <c:pt idx="9">
                  <c:v>45.318863591810079</c:v>
                </c:pt>
                <c:pt idx="10">
                  <c:v>20.20464543270359</c:v>
                </c:pt>
                <c:pt idx="11">
                  <c:v>15.71050114837978</c:v>
                </c:pt>
                <c:pt idx="12">
                  <c:v>26.404957228286658</c:v>
                </c:pt>
                <c:pt idx="13">
                  <c:v>12.550861011144768</c:v>
                </c:pt>
                <c:pt idx="14">
                  <c:v>4.4127810626244308</c:v>
                </c:pt>
                <c:pt idx="15">
                  <c:v>0</c:v>
                </c:pt>
                <c:pt idx="16">
                  <c:v>1.5176425356727437</c:v>
                </c:pt>
                <c:pt idx="17">
                  <c:v>1.7879819961524206</c:v>
                </c:pt>
                <c:pt idx="18">
                  <c:v>1.0494445095334151</c:v>
                </c:pt>
                <c:pt idx="19">
                  <c:v>2.0838930215087323</c:v>
                </c:pt>
                <c:pt idx="20">
                  <c:v>4.3826001720176953</c:v>
                </c:pt>
                <c:pt idx="21">
                  <c:v>7.4905449550752126</c:v>
                </c:pt>
                <c:pt idx="22">
                  <c:v>1.3291346371496251</c:v>
                </c:pt>
                <c:pt idx="23">
                  <c:v>2.0847912330459324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6E-4218-A43D-48FAD703823A}"/>
            </c:ext>
          </c:extLst>
        </c:ser>
        <c:ser>
          <c:idx val="13"/>
          <c:order val="1"/>
          <c:tx>
            <c:strRef>
              <c:f>'3. Customer_relations'!$A$16</c:f>
              <c:strCache>
                <c:ptCount val="1"/>
                <c:pt idx="0">
                  <c:v>CPA Tiktok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Customer_relations'!$B$16:$Y$16</c:f>
              <c:numCache>
                <c:formatCode>"$"#,##0</c:formatCode>
                <c:ptCount val="24"/>
                <c:pt idx="0">
                  <c:v>3.6280029735607058</c:v>
                </c:pt>
                <c:pt idx="1">
                  <c:v>3.1930903281752276</c:v>
                </c:pt>
                <c:pt idx="2">
                  <c:v>1.8581237166237539</c:v>
                </c:pt>
                <c:pt idx="3">
                  <c:v>0.90500729684535497</c:v>
                </c:pt>
                <c:pt idx="4">
                  <c:v>0.24295703660721718</c:v>
                </c:pt>
                <c:pt idx="5">
                  <c:v>0.72725542364745743</c:v>
                </c:pt>
                <c:pt idx="6">
                  <c:v>8.0314068507985947E-2</c:v>
                </c:pt>
                <c:pt idx="7">
                  <c:v>1.5202395778436197</c:v>
                </c:pt>
                <c:pt idx="8">
                  <c:v>0.66376262970290512</c:v>
                </c:pt>
                <c:pt idx="9">
                  <c:v>0.5842594045984798</c:v>
                </c:pt>
                <c:pt idx="10">
                  <c:v>0.92666206213189994</c:v>
                </c:pt>
                <c:pt idx="11">
                  <c:v>3.2528182098530714</c:v>
                </c:pt>
                <c:pt idx="12">
                  <c:v>1.5806663728680306</c:v>
                </c:pt>
                <c:pt idx="13">
                  <c:v>0.24970638001955722</c:v>
                </c:pt>
                <c:pt idx="14">
                  <c:v>0.55462676086638685</c:v>
                </c:pt>
                <c:pt idx="15">
                  <c:v>0.53987281237556028</c:v>
                </c:pt>
                <c:pt idx="16">
                  <c:v>1.9377339759856971</c:v>
                </c:pt>
                <c:pt idx="17">
                  <c:v>0.60962563383332835</c:v>
                </c:pt>
                <c:pt idx="18">
                  <c:v>0.40784296621779115</c:v>
                </c:pt>
                <c:pt idx="19">
                  <c:v>0.42582839886668677</c:v>
                </c:pt>
                <c:pt idx="20">
                  <c:v>0.61136834244918925</c:v>
                </c:pt>
                <c:pt idx="21">
                  <c:v>0.13555952025348034</c:v>
                </c:pt>
                <c:pt idx="22">
                  <c:v>0.32332632885708107</c:v>
                </c:pt>
                <c:pt idx="23">
                  <c:v>0.3507611984524307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16E-4218-A43D-48FAD703823A}"/>
            </c:ext>
          </c:extLst>
        </c:ser>
        <c:ser>
          <c:idx val="21"/>
          <c:order val="2"/>
          <c:tx>
            <c:strRef>
              <c:f>'3. Customer_relations'!$A$24</c:f>
              <c:strCache>
                <c:ptCount val="1"/>
                <c:pt idx="0">
                  <c:v>CPA Email Marketing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Customer_relations'!$B$24:$Y$24</c:f>
              <c:numCache>
                <c:formatCode>"$"#,##0</c:formatCode>
                <c:ptCount val="24"/>
                <c:pt idx="0">
                  <c:v>8.6395561861346408</c:v>
                </c:pt>
                <c:pt idx="1">
                  <c:v>21.738264818196061</c:v>
                </c:pt>
                <c:pt idx="2">
                  <c:v>8.6742966691383181</c:v>
                </c:pt>
                <c:pt idx="3">
                  <c:v>14.280607462384287</c:v>
                </c:pt>
                <c:pt idx="4">
                  <c:v>8.379146334626995</c:v>
                </c:pt>
                <c:pt idx="5">
                  <c:v>1.0200302972282798</c:v>
                </c:pt>
                <c:pt idx="6">
                  <c:v>6.36919994672939</c:v>
                </c:pt>
                <c:pt idx="7">
                  <c:v>2.6298275190460134</c:v>
                </c:pt>
                <c:pt idx="8">
                  <c:v>1.0000584337841347</c:v>
                </c:pt>
                <c:pt idx="9">
                  <c:v>21.278476521683324</c:v>
                </c:pt>
                <c:pt idx="10">
                  <c:v>13.428379315425738</c:v>
                </c:pt>
                <c:pt idx="11">
                  <c:v>41.097201700218562</c:v>
                </c:pt>
                <c:pt idx="12">
                  <c:v>5.8460609956813441</c:v>
                </c:pt>
                <c:pt idx="13">
                  <c:v>0.75053771310891548</c:v>
                </c:pt>
                <c:pt idx="14">
                  <c:v>5.305630026225769</c:v>
                </c:pt>
                <c:pt idx="15">
                  <c:v>3.2843878938404867</c:v>
                </c:pt>
                <c:pt idx="16">
                  <c:v>1.226524122557872</c:v>
                </c:pt>
                <c:pt idx="17">
                  <c:v>33.634400269738272</c:v>
                </c:pt>
                <c:pt idx="18">
                  <c:v>2.0547389959370017</c:v>
                </c:pt>
                <c:pt idx="19">
                  <c:v>59.330890922690095</c:v>
                </c:pt>
                <c:pt idx="20">
                  <c:v>7.1539725322782033</c:v>
                </c:pt>
                <c:pt idx="21">
                  <c:v>20.957946210655297</c:v>
                </c:pt>
                <c:pt idx="22">
                  <c:v>3.3330047774503999</c:v>
                </c:pt>
                <c:pt idx="23">
                  <c:v>12.173198098483477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16E-4218-A43D-48FAD7038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934752"/>
        <c:axId val="1979788704"/>
      </c:lineChart>
      <c:dateAx>
        <c:axId val="198993475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788704"/>
        <c:crosses val="autoZero"/>
        <c:auto val="1"/>
        <c:lblOffset val="100"/>
        <c:baseTimeUnit val="months"/>
      </c:dateAx>
      <c:valAx>
        <c:axId val="1979788704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93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ROI % Vs CPA Instagram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ROI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'3. Customer_relations'!$B$8:$Y$8</c:f>
              <c:numCache>
                <c:formatCode>"$"#,##0</c:formatCode>
                <c:ptCount val="24"/>
                <c:pt idx="0">
                  <c:v>9.0212513662657017</c:v>
                </c:pt>
                <c:pt idx="1">
                  <c:v>0</c:v>
                </c:pt>
                <c:pt idx="2">
                  <c:v>0</c:v>
                </c:pt>
                <c:pt idx="3">
                  <c:v>8.6337435001122742</c:v>
                </c:pt>
                <c:pt idx="4">
                  <c:v>0</c:v>
                </c:pt>
                <c:pt idx="5">
                  <c:v>6.4416903884920149</c:v>
                </c:pt>
                <c:pt idx="6">
                  <c:v>0</c:v>
                </c:pt>
                <c:pt idx="7">
                  <c:v>0.70330045321303214</c:v>
                </c:pt>
                <c:pt idx="8">
                  <c:v>19.418313372086306</c:v>
                </c:pt>
                <c:pt idx="9">
                  <c:v>45.318863591810079</c:v>
                </c:pt>
                <c:pt idx="10">
                  <c:v>20.20464543270359</c:v>
                </c:pt>
                <c:pt idx="11">
                  <c:v>15.71050114837978</c:v>
                </c:pt>
                <c:pt idx="12">
                  <c:v>26.404957228286658</c:v>
                </c:pt>
                <c:pt idx="13">
                  <c:v>12.550861011144768</c:v>
                </c:pt>
                <c:pt idx="14">
                  <c:v>4.4127810626244308</c:v>
                </c:pt>
                <c:pt idx="15">
                  <c:v>0</c:v>
                </c:pt>
                <c:pt idx="16">
                  <c:v>1.5176425356727437</c:v>
                </c:pt>
                <c:pt idx="17">
                  <c:v>1.7879819961524206</c:v>
                </c:pt>
                <c:pt idx="18">
                  <c:v>1.0494445095334151</c:v>
                </c:pt>
                <c:pt idx="19">
                  <c:v>2.0838930215087323</c:v>
                </c:pt>
                <c:pt idx="20">
                  <c:v>4.3826001720176953</c:v>
                </c:pt>
                <c:pt idx="21">
                  <c:v>7.4905449550752126</c:v>
                </c:pt>
                <c:pt idx="22">
                  <c:v>1.3291346371496251</c:v>
                </c:pt>
                <c:pt idx="23">
                  <c:v>2.0847912330459324</c:v>
                </c:pt>
              </c:numCache>
            </c:numRef>
          </c:xVal>
          <c:yVal>
            <c:numRef>
              <c:f>'3. Customer_relations'!$B$10:$Y$10</c:f>
              <c:numCache>
                <c:formatCode>0</c:formatCode>
                <c:ptCount val="24"/>
                <c:pt idx="0">
                  <c:v>25.603847986928081</c:v>
                </c:pt>
                <c:pt idx="1">
                  <c:v>0</c:v>
                </c:pt>
                <c:pt idx="2">
                  <c:v>0</c:v>
                </c:pt>
                <c:pt idx="3">
                  <c:v>26.797907129958055</c:v>
                </c:pt>
                <c:pt idx="4">
                  <c:v>0</c:v>
                </c:pt>
                <c:pt idx="5">
                  <c:v>36.257301348844159</c:v>
                </c:pt>
                <c:pt idx="6">
                  <c:v>0</c:v>
                </c:pt>
                <c:pt idx="7">
                  <c:v>340.2481804946359</c:v>
                </c:pt>
                <c:pt idx="8">
                  <c:v>11.35946682913246</c:v>
                </c:pt>
                <c:pt idx="9">
                  <c:v>4.2958079920470968</c:v>
                </c:pt>
                <c:pt idx="10">
                  <c:v>10.878456407432511</c:v>
                </c:pt>
                <c:pt idx="11">
                  <c:v>14.276406381520882</c:v>
                </c:pt>
                <c:pt idx="12">
                  <c:v>8.0892023768512988</c:v>
                </c:pt>
                <c:pt idx="13">
                  <c:v>18.122194069943696</c:v>
                </c:pt>
                <c:pt idx="14">
                  <c:v>53.387470530265517</c:v>
                </c:pt>
                <c:pt idx="15">
                  <c:v>0</c:v>
                </c:pt>
                <c:pt idx="16">
                  <c:v>157.1400061995576</c:v>
                </c:pt>
                <c:pt idx="17">
                  <c:v>133.22953951239933</c:v>
                </c:pt>
                <c:pt idx="18">
                  <c:v>227.6924156730349</c:v>
                </c:pt>
                <c:pt idx="19">
                  <c:v>114.1690597947493</c:v>
                </c:pt>
                <c:pt idx="20">
                  <c:v>53.762011267276279</c:v>
                </c:pt>
                <c:pt idx="21">
                  <c:v>31.040392446665471</c:v>
                </c:pt>
                <c:pt idx="22">
                  <c:v>179.56861456465256</c:v>
                </c:pt>
                <c:pt idx="23">
                  <c:v>114.11944035247789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B-4135-AB5E-570AB3EC9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059584"/>
        <c:axId val="1979798304"/>
      </c:scatterChart>
      <c:valAx>
        <c:axId val="187505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798304"/>
        <c:crosses val="autoZero"/>
        <c:crossBetween val="midCat"/>
      </c:valAx>
      <c:valAx>
        <c:axId val="197979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059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ROI % Vs CPA Tiktok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ROI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'3. Customer_relations'!$B$16:$Y$16</c:f>
              <c:numCache>
                <c:formatCode>"$"#,##0</c:formatCode>
                <c:ptCount val="24"/>
                <c:pt idx="0">
                  <c:v>3.6280029735607058</c:v>
                </c:pt>
                <c:pt idx="1">
                  <c:v>3.1930903281752276</c:v>
                </c:pt>
                <c:pt idx="2">
                  <c:v>1.8581237166237539</c:v>
                </c:pt>
                <c:pt idx="3">
                  <c:v>0.90500729684535497</c:v>
                </c:pt>
                <c:pt idx="4">
                  <c:v>0.24295703660721718</c:v>
                </c:pt>
                <c:pt idx="5">
                  <c:v>0.72725542364745743</c:v>
                </c:pt>
                <c:pt idx="6">
                  <c:v>8.0314068507985947E-2</c:v>
                </c:pt>
                <c:pt idx="7">
                  <c:v>1.5202395778436197</c:v>
                </c:pt>
                <c:pt idx="8">
                  <c:v>0.66376262970290512</c:v>
                </c:pt>
                <c:pt idx="9">
                  <c:v>0.5842594045984798</c:v>
                </c:pt>
                <c:pt idx="10">
                  <c:v>0.92666206213189994</c:v>
                </c:pt>
                <c:pt idx="11">
                  <c:v>3.2528182098530714</c:v>
                </c:pt>
                <c:pt idx="12">
                  <c:v>1.5806663728680306</c:v>
                </c:pt>
                <c:pt idx="13">
                  <c:v>0.24970638001955722</c:v>
                </c:pt>
                <c:pt idx="14">
                  <c:v>0.55462676086638685</c:v>
                </c:pt>
                <c:pt idx="15">
                  <c:v>0.53987281237556028</c:v>
                </c:pt>
                <c:pt idx="16">
                  <c:v>1.9377339759856971</c:v>
                </c:pt>
                <c:pt idx="17">
                  <c:v>0.60962563383332835</c:v>
                </c:pt>
                <c:pt idx="18">
                  <c:v>0.40784296621779115</c:v>
                </c:pt>
                <c:pt idx="19">
                  <c:v>0.42582839886668677</c:v>
                </c:pt>
                <c:pt idx="20">
                  <c:v>0.61136834244918925</c:v>
                </c:pt>
                <c:pt idx="21">
                  <c:v>0.13555952025348034</c:v>
                </c:pt>
                <c:pt idx="22">
                  <c:v>0.32332632885708107</c:v>
                </c:pt>
                <c:pt idx="23">
                  <c:v>0.3507611984524307</c:v>
                </c:pt>
              </c:numCache>
            </c:numRef>
          </c:xVal>
          <c:yVal>
            <c:numRef>
              <c:f>'3. Customer_relations'!$B$18:$Y$18</c:f>
              <c:numCache>
                <c:formatCode>0</c:formatCode>
                <c:ptCount val="24"/>
                <c:pt idx="0">
                  <c:v>65.152095725669113</c:v>
                </c:pt>
                <c:pt idx="1">
                  <c:v>74.162295874402673</c:v>
                </c:pt>
                <c:pt idx="2">
                  <c:v>128.1625513698757</c:v>
                </c:pt>
                <c:pt idx="3">
                  <c:v>264.19123197855333</c:v>
                </c:pt>
                <c:pt idx="4">
                  <c:v>986.82897318591449</c:v>
                </c:pt>
                <c:pt idx="5">
                  <c:v>329.00785170677779</c:v>
                </c:pt>
                <c:pt idx="6">
                  <c:v>2987.2684871846063</c:v>
                </c:pt>
                <c:pt idx="7">
                  <c:v>156.86985386897206</c:v>
                </c:pt>
                <c:pt idx="8">
                  <c:v>360.57504092603421</c:v>
                </c:pt>
                <c:pt idx="9">
                  <c:v>409.77644298243689</c:v>
                </c:pt>
                <c:pt idx="10">
                  <c:v>257.99409267694688</c:v>
                </c:pt>
                <c:pt idx="11">
                  <c:v>72.7821742613894</c:v>
                </c:pt>
                <c:pt idx="12">
                  <c:v>150.83469713759615</c:v>
                </c:pt>
                <c:pt idx="13">
                  <c:v>960.12882650897029</c:v>
                </c:pt>
                <c:pt idx="14">
                  <c:v>431.72344021967871</c:v>
                </c:pt>
                <c:pt idx="15">
                  <c:v>443.54915027846414</c:v>
                </c:pt>
                <c:pt idx="16">
                  <c:v>122.85601066726174</c:v>
                </c:pt>
                <c:pt idx="17">
                  <c:v>392.68423288056152</c:v>
                </c:pt>
                <c:pt idx="18">
                  <c:v>587.46178524466268</c:v>
                </c:pt>
                <c:pt idx="19">
                  <c:v>562.60731374127135</c:v>
                </c:pt>
                <c:pt idx="20">
                  <c:v>391.56203394264952</c:v>
                </c:pt>
                <c:pt idx="21">
                  <c:v>1769.4400218533397</c:v>
                </c:pt>
                <c:pt idx="22">
                  <c:v>741.284121581965</c:v>
                </c:pt>
                <c:pt idx="23">
                  <c:v>683.22619451321134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6B-42F7-A633-1D23E3F81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8688"/>
        <c:axId val="1317077024"/>
      </c:scatterChart>
      <c:valAx>
        <c:axId val="2631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077024"/>
        <c:crosses val="autoZero"/>
        <c:crossBetween val="midCat"/>
      </c:valAx>
      <c:valAx>
        <c:axId val="131707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18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ROI % Vs CPA Email Marketing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ROI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'3. Customer_relations'!$B$24:$Y$24</c:f>
              <c:numCache>
                <c:formatCode>"$"#,##0</c:formatCode>
                <c:ptCount val="24"/>
                <c:pt idx="0">
                  <c:v>8.6395561861346408</c:v>
                </c:pt>
                <c:pt idx="1">
                  <c:v>21.738264818196061</c:v>
                </c:pt>
                <c:pt idx="2">
                  <c:v>8.6742966691383181</c:v>
                </c:pt>
                <c:pt idx="3">
                  <c:v>14.280607462384287</c:v>
                </c:pt>
                <c:pt idx="4">
                  <c:v>8.379146334626995</c:v>
                </c:pt>
                <c:pt idx="5">
                  <c:v>1.0200302972282798</c:v>
                </c:pt>
                <c:pt idx="6">
                  <c:v>6.36919994672939</c:v>
                </c:pt>
                <c:pt idx="7">
                  <c:v>2.6298275190460134</c:v>
                </c:pt>
                <c:pt idx="8">
                  <c:v>1.0000584337841347</c:v>
                </c:pt>
                <c:pt idx="9">
                  <c:v>21.278476521683324</c:v>
                </c:pt>
                <c:pt idx="10">
                  <c:v>13.428379315425738</c:v>
                </c:pt>
                <c:pt idx="11">
                  <c:v>41.097201700218562</c:v>
                </c:pt>
                <c:pt idx="12">
                  <c:v>5.8460609956813441</c:v>
                </c:pt>
                <c:pt idx="13">
                  <c:v>0.75053771310891548</c:v>
                </c:pt>
                <c:pt idx="14">
                  <c:v>5.305630026225769</c:v>
                </c:pt>
                <c:pt idx="15">
                  <c:v>3.2843878938404867</c:v>
                </c:pt>
                <c:pt idx="16">
                  <c:v>1.226524122557872</c:v>
                </c:pt>
                <c:pt idx="17">
                  <c:v>33.634400269738272</c:v>
                </c:pt>
                <c:pt idx="18">
                  <c:v>2.0547389959370017</c:v>
                </c:pt>
                <c:pt idx="19">
                  <c:v>59.330890922690095</c:v>
                </c:pt>
                <c:pt idx="20">
                  <c:v>7.1539725322782033</c:v>
                </c:pt>
                <c:pt idx="21">
                  <c:v>20.957946210655297</c:v>
                </c:pt>
                <c:pt idx="22">
                  <c:v>3.3330047774503999</c:v>
                </c:pt>
                <c:pt idx="23">
                  <c:v>12.173198098483477</c:v>
                </c:pt>
              </c:numCache>
            </c:numRef>
          </c:xVal>
          <c:yVal>
            <c:numRef>
              <c:f>'3. Customer_relations'!$B$26:$Y$26</c:f>
              <c:numCache>
                <c:formatCode>0</c:formatCode>
                <c:ptCount val="24"/>
                <c:pt idx="0">
                  <c:v>26.779204721785206</c:v>
                </c:pt>
                <c:pt idx="1">
                  <c:v>10.040439612231951</c:v>
                </c:pt>
                <c:pt idx="2">
                  <c:v>26.667949247560262</c:v>
                </c:pt>
                <c:pt idx="3">
                  <c:v>15.806007771880152</c:v>
                </c:pt>
                <c:pt idx="4">
                  <c:v>27.642535935694916</c:v>
                </c:pt>
                <c:pt idx="5">
                  <c:v>234.28712887465218</c:v>
                </c:pt>
                <c:pt idx="6">
                  <c:v>36.681341770914415</c:v>
                </c:pt>
                <c:pt idx="7">
                  <c:v>90.26073792362682</c:v>
                </c:pt>
                <c:pt idx="8">
                  <c:v>238.98597671124145</c:v>
                </c:pt>
                <c:pt idx="9">
                  <c:v>10.279002975397875</c:v>
                </c:pt>
                <c:pt idx="10">
                  <c:v>16.872596116219476</c:v>
                </c:pt>
                <c:pt idx="11">
                  <c:v>4.8398136629999229</c:v>
                </c:pt>
                <c:pt idx="12">
                  <c:v>40.053283600238693</c:v>
                </c:pt>
                <c:pt idx="13">
                  <c:v>318.77074010826163</c:v>
                </c:pt>
                <c:pt idx="14">
                  <c:v>44.23496716010694</c:v>
                </c:pt>
                <c:pt idx="15">
                  <c:v>72.072976687709144</c:v>
                </c:pt>
                <c:pt idx="16">
                  <c:v>194.67491220595699</c:v>
                </c:pt>
                <c:pt idx="17">
                  <c:v>6.1355516398469607</c:v>
                </c:pt>
                <c:pt idx="18">
                  <c:v>115.80315625223983</c:v>
                </c:pt>
                <c:pt idx="19">
                  <c:v>3.0451103340539269</c:v>
                </c:pt>
                <c:pt idx="20">
                  <c:v>32.547794448068885</c:v>
                </c:pt>
                <c:pt idx="21">
                  <c:v>10.451503767958943</c:v>
                </c:pt>
                <c:pt idx="22">
                  <c:v>71.007097506649629</c:v>
                </c:pt>
                <c:pt idx="23">
                  <c:v>18.715443555453099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83-4279-848D-7999DF8C3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68080"/>
        <c:axId val="1979785824"/>
      </c:scatterChart>
      <c:valAx>
        <c:axId val="35668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785824"/>
        <c:crosses val="autoZero"/>
        <c:crossBetween val="midCat"/>
      </c:valAx>
      <c:valAx>
        <c:axId val="197978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8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customers Acquired MoM on various Platforms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039413781966227E-2"/>
          <c:y val="0.24205124261811023"/>
          <c:w val="0.93474168842149441"/>
          <c:h val="0.61049550935039365"/>
        </c:manualLayout>
      </c:layout>
      <c:lineChart>
        <c:grouping val="standard"/>
        <c:varyColors val="0"/>
        <c:ser>
          <c:idx val="4"/>
          <c:order val="0"/>
          <c:tx>
            <c:v>Instagram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Customer_relations'!$B$7:$Y$7</c:f>
              <c:numCache>
                <c:formatCode>0</c:formatCode>
                <c:ptCount val="24"/>
                <c:pt idx="0">
                  <c:v>3.3254809983660101</c:v>
                </c:pt>
                <c:pt idx="1">
                  <c:v>2.9479409184829342</c:v>
                </c:pt>
                <c:pt idx="2">
                  <c:v>4.7821743533850647</c:v>
                </c:pt>
                <c:pt idx="3">
                  <c:v>8.3393721389874162</c:v>
                </c:pt>
                <c:pt idx="4">
                  <c:v>12.15881886828811</c:v>
                </c:pt>
                <c:pt idx="5">
                  <c:v>7.4514602697688321</c:v>
                </c:pt>
                <c:pt idx="6">
                  <c:v>3.4642726355376094</c:v>
                </c:pt>
                <c:pt idx="7">
                  <c:v>8.5880792091150031</c:v>
                </c:pt>
                <c:pt idx="8">
                  <c:v>6.8986424017941017</c:v>
                </c:pt>
                <c:pt idx="9">
                  <c:v>1.7211375974153065</c:v>
                </c:pt>
                <c:pt idx="10">
                  <c:v>4.769695183267797</c:v>
                </c:pt>
                <c:pt idx="11">
                  <c:v>3.5568566191641118</c:v>
                </c:pt>
                <c:pt idx="12">
                  <c:v>4.5771708302760334</c:v>
                </c:pt>
                <c:pt idx="13">
                  <c:v>5.0315273146539345</c:v>
                </c:pt>
                <c:pt idx="14">
                  <c:v>6.7984338162831897</c:v>
                </c:pt>
                <c:pt idx="15">
                  <c:v>5.5844629610817567</c:v>
                </c:pt>
                <c:pt idx="16">
                  <c:v>20.235331626618393</c:v>
                </c:pt>
                <c:pt idx="17">
                  <c:v>25.878336638494659</c:v>
                </c:pt>
                <c:pt idx="18">
                  <c:v>28.577023108476318</c:v>
                </c:pt>
                <c:pt idx="19">
                  <c:v>14.396132474343663</c:v>
                </c:pt>
                <c:pt idx="20">
                  <c:v>8.5816635156760874</c:v>
                </c:pt>
                <c:pt idx="21">
                  <c:v>10.999199723669868</c:v>
                </c:pt>
                <c:pt idx="22">
                  <c:v>12.037907637643505</c:v>
                </c:pt>
                <c:pt idx="23">
                  <c:v>14.385133400711714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CE-4B90-B92A-69DDBD651A30}"/>
            </c:ext>
          </c:extLst>
        </c:ser>
        <c:ser>
          <c:idx val="12"/>
          <c:order val="1"/>
          <c:tx>
            <c:v>TikTok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Customer_relations'!$B$15:$Y$15</c:f>
              <c:numCache>
                <c:formatCode>0</c:formatCode>
                <c:ptCount val="24"/>
                <c:pt idx="0">
                  <c:v>4.2326715233285768</c:v>
                </c:pt>
                <c:pt idx="1">
                  <c:v>12.207386123361628</c:v>
                </c:pt>
                <c:pt idx="2">
                  <c:v>16.151643373240788</c:v>
                </c:pt>
                <c:pt idx="3">
                  <c:v>27.121325913765176</c:v>
                </c:pt>
                <c:pt idx="4">
                  <c:v>26.328787786794525</c:v>
                </c:pt>
                <c:pt idx="5">
                  <c:v>8.7944003245889864</c:v>
                </c:pt>
                <c:pt idx="6">
                  <c:v>29.651443926780711</c:v>
                </c:pt>
                <c:pt idx="7">
                  <c:v>23.360279849539207</c:v>
                </c:pt>
                <c:pt idx="8">
                  <c:v>37.130314932768549</c:v>
                </c:pt>
                <c:pt idx="9">
                  <c:v>49.688503875412557</c:v>
                </c:pt>
                <c:pt idx="10">
                  <c:v>21.582841056412239</c:v>
                </c:pt>
                <c:pt idx="11">
                  <c:v>12.225184862217654</c:v>
                </c:pt>
                <c:pt idx="12">
                  <c:v>21.592253026101872</c:v>
                </c:pt>
                <c:pt idx="13">
                  <c:v>34.864561879145683</c:v>
                </c:pt>
                <c:pt idx="14">
                  <c:v>31.471297252633072</c:v>
                </c:pt>
                <c:pt idx="15">
                  <c:v>50.974200354521308</c:v>
                </c:pt>
                <c:pt idx="16">
                  <c:v>16.758715264215763</c:v>
                </c:pt>
                <c:pt idx="17">
                  <c:v>35.292173594530809</c:v>
                </c:pt>
                <c:pt idx="18">
                  <c:v>43.422952536269968</c:v>
                </c:pt>
                <c:pt idx="19">
                  <c:v>28.04039087082554</c:v>
                </c:pt>
                <c:pt idx="20">
                  <c:v>41.032495374427072</c:v>
                </c:pt>
                <c:pt idx="21">
                  <c:v>42.189941923956276</c:v>
                </c:pt>
                <c:pt idx="22">
                  <c:v>37.04594869302607</c:v>
                </c:pt>
                <c:pt idx="23">
                  <c:v>42.823538182996558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0CE-4B90-B92A-69DDBD651A30}"/>
            </c:ext>
          </c:extLst>
        </c:ser>
        <c:ser>
          <c:idx val="20"/>
          <c:order val="2"/>
          <c:tx>
            <c:v>Email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numRef>
              <c:f>'3. Customer_relations'!$B$2:$Y$2</c:f>
              <c:numCache>
                <c:formatCode>mmm\-yy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'3. Customer_relations'!$B$23:$Y$23</c:f>
              <c:numCache>
                <c:formatCode>0</c:formatCode>
                <c:ptCount val="24"/>
                <c:pt idx="0">
                  <c:v>2.1643321659169996</c:v>
                </c:pt>
                <c:pt idx="1">
                  <c:v>1.0208825130576871</c:v>
                </c:pt>
                <c:pt idx="2">
                  <c:v>0.94377969543275686</c:v>
                </c:pt>
                <c:pt idx="3">
                  <c:v>1.4763806112935398</c:v>
                </c:pt>
                <c:pt idx="4">
                  <c:v>2.8987436611494561</c:v>
                </c:pt>
                <c:pt idx="5">
                  <c:v>1.8670689750048532</c:v>
                </c:pt>
                <c:pt idx="6">
                  <c:v>3.9109054726331753</c:v>
                </c:pt>
                <c:pt idx="7">
                  <c:v>2.6585352159198474</c:v>
                </c:pt>
                <c:pt idx="8">
                  <c:v>2.666959471862385</c:v>
                </c:pt>
                <c:pt idx="9">
                  <c:v>1.3583823540154465</c:v>
                </c:pt>
                <c:pt idx="10">
                  <c:v>0.78869632047783134</c:v>
                </c:pt>
                <c:pt idx="11">
                  <c:v>0.80648535427166645</c:v>
                </c:pt>
                <c:pt idx="12">
                  <c:v>2.1363383901287056</c:v>
                </c:pt>
                <c:pt idx="13">
                  <c:v>5.3355835480589668</c:v>
                </c:pt>
                <c:pt idx="14">
                  <c:v>5.2875066577069019</c:v>
                </c:pt>
                <c:pt idx="15">
                  <c:v>5.4945557061537675</c:v>
                </c:pt>
                <c:pt idx="16">
                  <c:v>4.0794694018745998</c:v>
                </c:pt>
                <c:pt idx="17">
                  <c:v>0.60361573721379702</c:v>
                </c:pt>
                <c:pt idx="18">
                  <c:v>0.68618416670531635</c:v>
                </c:pt>
                <c:pt idx="19">
                  <c:v>0.62837648155005332</c:v>
                </c:pt>
                <c:pt idx="20">
                  <c:v>1.4830891784570246</c:v>
                </c:pt>
                <c:pt idx="21">
                  <c:v>1.2960913910878806</c:v>
                </c:pt>
                <c:pt idx="22">
                  <c:v>3.8344241826866052</c:v>
                </c:pt>
                <c:pt idx="23">
                  <c:v>1.7516176682400797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0CE-4B90-B92A-69DDBD651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4899680"/>
        <c:axId val="1412834640"/>
      </c:lineChart>
      <c:dateAx>
        <c:axId val="9648996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834640"/>
        <c:crosses val="autoZero"/>
        <c:auto val="1"/>
        <c:lblOffset val="100"/>
        <c:baseTimeUnit val="months"/>
      </c:dateAx>
      <c:valAx>
        <c:axId val="141283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89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anchor="ctr" anchorCtr="1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vs Profit/loss</a:t>
            </a:r>
          </a:p>
        </c:rich>
      </c:tx>
      <c:layout>
        <c:manualLayout>
          <c:xMode val="edge"/>
          <c:yMode val="edge"/>
          <c:x val="0.2671665894704338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779243219597549"/>
          <c:y val="0.28891258384368623"/>
          <c:w val="0.78220756780402445"/>
          <c:h val="0.49236876640419946"/>
        </c:manualLayout>
      </c:layout>
      <c:lineChart>
        <c:grouping val="standard"/>
        <c:varyColors val="0"/>
        <c:ser>
          <c:idx val="0"/>
          <c:order val="0"/>
          <c:tx>
            <c:strRef>
              <c:f>'[2]#3 Analysis - Set up a new bran'!$C$71</c:f>
              <c:strCache>
                <c:ptCount val="1"/>
                <c:pt idx="0">
                  <c:v>Revenue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'[2]#3 Analysis - Set up a new bran'!$D$70:$G$70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'[2]#3 Analysis - Set up a new bran'!$D$71:$G$71</c:f>
              <c:numCache>
                <c:formatCode>General</c:formatCode>
                <c:ptCount val="4"/>
                <c:pt idx="0">
                  <c:v>325920</c:v>
                </c:pt>
                <c:pt idx="1">
                  <c:v>348734.39999999997</c:v>
                </c:pt>
                <c:pt idx="2">
                  <c:v>373145.80800000002</c:v>
                </c:pt>
                <c:pt idx="3">
                  <c:v>399266.01456000004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A0-4F49-99DF-A0EB924F4A5E}"/>
            </c:ext>
          </c:extLst>
        </c:ser>
        <c:ser>
          <c:idx val="1"/>
          <c:order val="1"/>
          <c:tx>
            <c:strRef>
              <c:f>'[2]#3 Analysis - Set up a new bran'!$C$72</c:f>
              <c:strCache>
                <c:ptCount val="1"/>
                <c:pt idx="0">
                  <c:v>Profit/Loss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'[2]#3 Analysis - Set up a new bran'!$D$70:$G$70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'[2]#3 Analysis - Set up a new bran'!$D$72:$G$72</c:f>
              <c:numCache>
                <c:formatCode>General</c:formatCode>
                <c:ptCount val="4"/>
                <c:pt idx="0">
                  <c:v>20020.04800000001</c:v>
                </c:pt>
                <c:pt idx="1">
                  <c:v>95190.447999999975</c:v>
                </c:pt>
                <c:pt idx="2">
                  <c:v>111608.53599999999</c:v>
                </c:pt>
                <c:pt idx="3">
                  <c:v>129369.62296000007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A0-4F49-99DF-A0EB924F4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15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upBars>
          <c:downBars>
            <c:spPr>
              <a:solidFill>
                <a:schemeClr val="accent5">
                  <a:lumMod val="20000"/>
                  <a:lumOff val="80000"/>
                </a:schemeClr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downBars>
        </c:upDownBars>
        <c:marker val="1"/>
        <c:smooth val="0"/>
        <c:axId val="780130672"/>
        <c:axId val="780131032"/>
      </c:lineChart>
      <c:catAx>
        <c:axId val="78013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131032"/>
        <c:crosses val="autoZero"/>
        <c:auto val="1"/>
        <c:lblAlgn val="ctr"/>
        <c:lblOffset val="100"/>
        <c:noMultiLvlLbl val="0"/>
      </c:catAx>
      <c:valAx>
        <c:axId val="780131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1306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Present</a:t>
            </a:r>
            <a:r>
              <a:rPr lang="en-SG" baseline="0"/>
              <a:t> Value against inflation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'4. Business Expansion Analysis'!$B$100</c:f>
              <c:strCache>
                <c:ptCount val="1"/>
                <c:pt idx="0">
                  <c:v>Waterloo Street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Analysis'!$B$102:$B$106</c:f>
              <c:numCache>
                <c:formatCode>"$"#,##0</c:formatCode>
                <c:ptCount val="5"/>
                <c:pt idx="0">
                  <c:v>32259.717444592774</c:v>
                </c:pt>
                <c:pt idx="1">
                  <c:v>31036.740195327413</c:v>
                </c:pt>
                <c:pt idx="2">
                  <c:v>29871.17194337738</c:v>
                </c:pt>
                <c:pt idx="3">
                  <c:v>28759.808964751199</c:v>
                </c:pt>
                <c:pt idx="4">
                  <c:v>27699.654191043694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6-4B74-AF44-AE9C9DD8AC9A}"/>
            </c:ext>
          </c:extLst>
        </c:ser>
        <c:ser>
          <c:idx val="1"/>
          <c:order val="1"/>
          <c:tx>
            <c:strRef>
              <c:f>'4. Business Expansion Analysis'!$C$100</c:f>
              <c:strCache>
                <c:ptCount val="1"/>
                <c:pt idx="0">
                  <c:v>326D King George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Analysis'!$C$102:$C$106</c:f>
              <c:numCache>
                <c:formatCode>"$"#,##0</c:formatCode>
                <c:ptCount val="5"/>
                <c:pt idx="0">
                  <c:v>101976.29501274177</c:v>
                </c:pt>
                <c:pt idx="1">
                  <c:v>98110.337755702611</c:v>
                </c:pt>
                <c:pt idx="2">
                  <c:v>94425.8562619484</c:v>
                </c:pt>
                <c:pt idx="3">
                  <c:v>90912.723229420269</c:v>
                </c:pt>
                <c:pt idx="4">
                  <c:v>87561.464615687917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46-4B74-AF44-AE9C9DD8AC9A}"/>
            </c:ext>
          </c:extLst>
        </c:ser>
        <c:ser>
          <c:idx val="2"/>
          <c:order val="2"/>
          <c:tx>
            <c:strRef>
              <c:f>'4. Business Expansion Analysis'!$D$100</c:f>
              <c:strCache>
                <c:ptCount val="1"/>
                <c:pt idx="0">
                  <c:v>Tanjong Pagar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Analysis'!$D$102:$D$106</c:f>
              <c:numCache>
                <c:formatCode>"$"#,##0</c:formatCode>
                <c:ptCount val="5"/>
                <c:pt idx="0">
                  <c:v>316469.00654647028</c:v>
                </c:pt>
                <c:pt idx="1">
                  <c:v>304471.55505704886</c:v>
                </c:pt>
                <c:pt idx="2">
                  <c:v>293037.28792838374</c:v>
                </c:pt>
                <c:pt idx="3">
                  <c:v>282134.77651108964</c:v>
                </c:pt>
                <c:pt idx="4">
                  <c:v>271734.61945463199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46-4B74-AF44-AE9C9DD8AC9A}"/>
            </c:ext>
          </c:extLst>
        </c:ser>
        <c:ser>
          <c:idx val="3"/>
          <c:order val="3"/>
          <c:tx>
            <c:strRef>
              <c:f>'4. Business Expansion Analysis'!$E$100</c:f>
              <c:strCache>
                <c:ptCount val="1"/>
                <c:pt idx="0">
                  <c:v> Bencoolen Street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Analysis'!$E$102:$E$106</c:f>
              <c:numCache>
                <c:formatCode>"$"#,##0</c:formatCode>
                <c:ptCount val="5"/>
                <c:pt idx="0">
                  <c:v>371200.8030288099</c:v>
                </c:pt>
                <c:pt idx="1">
                  <c:v>357128.44985978486</c:v>
                </c:pt>
                <c:pt idx="2">
                  <c:v>343716.68108493905</c:v>
                </c:pt>
                <c:pt idx="3">
                  <c:v>330928.63262074906</c:v>
                </c:pt>
                <c:pt idx="4">
                  <c:v>318729.81829415256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46-4B74-AF44-AE9C9DD8AC9A}"/>
            </c:ext>
          </c:extLst>
        </c:ser>
        <c:ser>
          <c:idx val="4"/>
          <c:order val="4"/>
          <c:tx>
            <c:strRef>
              <c:f>'4. Business Expansion Analysis'!$F$100</c:f>
              <c:strCache>
                <c:ptCount val="1"/>
                <c:pt idx="0">
                  <c:v>Kampong Bahru 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Analysis'!$F$102:$F$106</c:f>
              <c:numCache>
                <c:formatCode>"$"#,##0</c:formatCode>
                <c:ptCount val="5"/>
                <c:pt idx="0">
                  <c:v>433950.47722105368</c:v>
                </c:pt>
                <c:pt idx="1">
                  <c:v>417499.2618047776</c:v>
                </c:pt>
                <c:pt idx="2">
                  <c:v>401820.2993328913</c:v>
                </c:pt>
                <c:pt idx="3">
                  <c:v>386870.49402945151</c:v>
                </c:pt>
                <c:pt idx="4">
                  <c:v>372609.5300030706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46-4B74-AF44-AE9C9DD8AC9A}"/>
            </c:ext>
          </c:extLst>
        </c:ser>
        <c:ser>
          <c:idx val="5"/>
          <c:order val="5"/>
          <c:tx>
            <c:strRef>
              <c:f>'4. Business Expansion Analysis'!$G$100</c:f>
              <c:strCache>
                <c:ptCount val="1"/>
                <c:pt idx="0">
                  <c:v>Pearl's Hill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Analysis'!$G$102:$G$106</c:f>
              <c:numCache>
                <c:formatCode>"$"#,##0</c:formatCode>
                <c:ptCount val="5"/>
                <c:pt idx="0">
                  <c:v>552285.06605114893</c:v>
                </c:pt>
                <c:pt idx="1">
                  <c:v>531347.74469829921</c:v>
                </c:pt>
                <c:pt idx="2">
                  <c:v>511393.26307207393</c:v>
                </c:pt>
                <c:pt idx="3">
                  <c:v>492366.77354650485</c:v>
                </c:pt>
                <c:pt idx="4">
                  <c:v>474216.96643095522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546-4B74-AF44-AE9C9DD8AC9A}"/>
            </c:ext>
          </c:extLst>
        </c:ser>
        <c:ser>
          <c:idx val="6"/>
          <c:order val="6"/>
          <c:tx>
            <c:strRef>
              <c:f>'4. Business Expansion Analysis'!$H$100</c:f>
              <c:strCache>
                <c:ptCount val="1"/>
                <c:pt idx="0">
                  <c:v>31B Keong Saik 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Analysis'!$H$102:$H$106</c:f>
              <c:numCache>
                <c:formatCode>"$"#,##0</c:formatCode>
                <c:ptCount val="5"/>
                <c:pt idx="0">
                  <c:v>600705.2211346085</c:v>
                </c:pt>
                <c:pt idx="1">
                  <c:v>577932.27465036453</c:v>
                </c:pt>
                <c:pt idx="2">
                  <c:v>556228.33580658271</c:v>
                </c:pt>
                <c:pt idx="3">
                  <c:v>535533.74835450458</c:v>
                </c:pt>
                <c:pt idx="4">
                  <c:v>515792.70415997074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46-4B74-AF44-AE9C9DD8AC9A}"/>
            </c:ext>
          </c:extLst>
        </c:ser>
        <c:ser>
          <c:idx val="7"/>
          <c:order val="7"/>
          <c:tx>
            <c:strRef>
              <c:f>'4. Business Expansion Analysis'!$I$100</c:f>
              <c:strCache>
                <c:ptCount val="1"/>
                <c:pt idx="0">
                  <c:v> Shenton Way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Analysis'!$I$102:$I$106</c:f>
              <c:numCache>
                <c:formatCode>"$"#,##0</c:formatCode>
                <c:ptCount val="5"/>
                <c:pt idx="0">
                  <c:v>636842.93126768165</c:v>
                </c:pt>
                <c:pt idx="1">
                  <c:v>612699.9914656349</c:v>
                </c:pt>
                <c:pt idx="2">
                  <c:v>589690.36952956847</c:v>
                </c:pt>
                <c:pt idx="3">
                  <c:v>567750.82036190177</c:v>
                </c:pt>
                <c:pt idx="4">
                  <c:v>546822.17847764131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546-4B74-AF44-AE9C9DD8AC9A}"/>
            </c:ext>
          </c:extLst>
        </c:ser>
        <c:ser>
          <c:idx val="8"/>
          <c:order val="8"/>
          <c:tx>
            <c:strRef>
              <c:f>'4. Business Expansion Analysis'!$J$100</c:f>
              <c:strCache>
                <c:ptCount val="1"/>
                <c:pt idx="0">
                  <c:v>11A Bukit Pasoh Rd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'4. Business Expansion Analysis'!$A$102:$A$106</c:f>
              <c:numCache>
                <c:formatCode>0.0%</c:formatCode>
                <c:ptCount val="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</c:numCache>
            </c:numRef>
          </c:cat>
          <c:val>
            <c:numRef>
              <c:f>'4. Business Expansion Analysis'!$J$102:$J$106</c:f>
              <c:numCache>
                <c:formatCode>"$"#,##0</c:formatCode>
                <c:ptCount val="5"/>
                <c:pt idx="0">
                  <c:v>693963.15152433165</c:v>
                </c:pt>
                <c:pt idx="1">
                  <c:v>667654.76405626338</c:v>
                </c:pt>
                <c:pt idx="2">
                  <c:v>642581.34489723947</c:v>
                </c:pt>
                <c:pt idx="3">
                  <c:v>618673.97632032819</c:v>
                </c:pt>
                <c:pt idx="4">
                  <c:v>595868.18612302619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46-4B74-AF44-AE9C9DD8A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2145823"/>
        <c:axId val="504374335"/>
      </c:lineChart>
      <c:catAx>
        <c:axId val="1352145823"/>
        <c:scaling>
          <c:orientation val="minMax"/>
        </c:scaling>
        <c:delete val="0"/>
        <c:axPos val="b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74335"/>
        <c:crosses val="autoZero"/>
        <c:auto val="1"/>
        <c:lblAlgn val="ctr"/>
        <c:lblOffset val="100"/>
        <c:noMultiLvlLbl val="0"/>
      </c:catAx>
      <c:valAx>
        <c:axId val="504374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14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Number of classes run a term</a:t>
            </a:r>
            <a:r>
              <a:rPr lang="en-SG" sz="1200" baseline="0"/>
              <a:t> in 2022</a:t>
            </a:r>
          </a:p>
        </c:rich>
      </c:tx>
      <c:layout>
        <c:manualLayout>
          <c:xMode val="edge"/>
          <c:yMode val="edge"/>
          <c:x val="0.15356794299992602"/>
          <c:y val="2.27835588815963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'Ref - Studio Capacity'!$J$99:$J$103</c:f>
              <c:strCache>
                <c:ptCount val="5"/>
                <c:pt idx="0">
                  <c:v>No of Jan term classes</c:v>
                </c:pt>
                <c:pt idx="1">
                  <c:v>No of May term classes</c:v>
                </c:pt>
                <c:pt idx="2">
                  <c:v>No of Jul term classes</c:v>
                </c:pt>
                <c:pt idx="3">
                  <c:v>No of Aug term classes</c:v>
                </c:pt>
                <c:pt idx="4">
                  <c:v>No of Oct  term classes</c:v>
                </c:pt>
              </c:strCache>
            </c:strRef>
          </c:cat>
          <c:val>
            <c:numRef>
              <c:f>'Ref - Studio Capacity'!$K$99:$K$103</c:f>
              <c:numCache>
                <c:formatCode>General</c:formatCode>
                <c:ptCount val="5"/>
                <c:pt idx="0">
                  <c:v>26</c:v>
                </c:pt>
                <c:pt idx="1">
                  <c:v>19</c:v>
                </c:pt>
                <c:pt idx="2">
                  <c:v>19</c:v>
                </c:pt>
                <c:pt idx="3">
                  <c:v>23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C-418B-B4EF-CB6DCDA17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3376560"/>
        <c:axId val="451207264"/>
      </c:barChart>
      <c:catAx>
        <c:axId val="26337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07264"/>
        <c:crosses val="autoZero"/>
        <c:auto val="1"/>
        <c:lblAlgn val="ctr"/>
        <c:lblOffset val="100"/>
        <c:noMultiLvlLbl val="0"/>
      </c:catAx>
      <c:valAx>
        <c:axId val="4512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37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  <cx:data id="3">
      <cx:strDim type="cat">
        <cx:f>_xlchart.v1.0</cx:f>
      </cx:strDim>
      <cx:numDim type="val">
        <cx:f>_xlchart.v1.8</cx:f>
      </cx:numDim>
    </cx:data>
  </cx:chartData>
  <cx:chart>
    <cx:title pos="t" align="ctr" overlay="0">
      <cx:tx>
        <cx:txData>
          <cx:v>Cumulative ROI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1" u="none" strike="noStrike" spc="100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Cumulative ROI</a:t>
          </a:r>
        </a:p>
      </cx:txPr>
    </cx:title>
    <cx:plotArea>
      <cx:plotAreaRegion>
        <cx:series layoutId="boxWhisker" uniqueId="{F8F69B1B-3560-4FC8-A899-A67F43165A7F}">
          <cx:tx>
            <cx:txData>
              <cx:f>_xlchart.v1.1</cx:f>
              <cx:v>ROI After Year1</cx:v>
            </cx:txData>
          </cx:tx>
          <cx:dataId val="0"/>
          <cx:layoutPr>
            <cx:visibility meanLine="1" meanMarker="1"/>
            <cx:statistics quartileMethod="exclusive"/>
          </cx:layoutPr>
        </cx:series>
        <cx:series layoutId="boxWhisker" uniqueId="{01DA9502-9AE4-4532-BCCD-EA3932C2807F}">
          <cx:tx>
            <cx:txData>
              <cx:f>_xlchart.v1.3</cx:f>
              <cx:v>ROI After Year2</cx:v>
            </cx:txData>
          </cx:tx>
          <cx:dataId val="1"/>
          <cx:layoutPr>
            <cx:visibility meanLine="1" meanMarker="1"/>
            <cx:statistics quartileMethod="exclusive"/>
          </cx:layoutPr>
        </cx:series>
        <cx:series layoutId="boxWhisker" uniqueId="{818AB7E9-FA0F-45F6-83A2-A7C1E3E0F03B}">
          <cx:tx>
            <cx:txData>
              <cx:f>_xlchart.v1.5</cx:f>
              <cx:v>ROI After Year3</cx:v>
            </cx:txData>
          </cx:tx>
          <cx:dataId val="2"/>
          <cx:layoutPr>
            <cx:visibility meanLine="1" meanMarker="1"/>
            <cx:statistics quartileMethod="exclusive"/>
          </cx:layoutPr>
        </cx:series>
        <cx:series layoutId="boxWhisker" uniqueId="{5EA5370C-9E67-4383-A97C-537DD05BAF98}">
          <cx:tx>
            <cx:txData>
              <cx:f>_xlchart.v1.7</cx:f>
              <cx:v>ROI After Year 4</cx:v>
            </cx:txData>
          </cx:tx>
          <cx:dataId val="3"/>
          <cx:layoutPr>
            <cx:visibility meanLine="1" meanMarker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  <cx:spPr>
    <a:noFill/>
    <a:ln w="15875">
      <a:solidFill>
        <a:schemeClr val="tx1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  <cx:data id="1">
      <cx:strDim type="cat">
        <cx:f>_xlchart.v1.9</cx:f>
      </cx:strDim>
      <cx:numDim type="val">
        <cx:f>_xlchart.v1.13</cx:f>
      </cx:numDim>
    </cx:data>
    <cx:data id="2">
      <cx:strDim type="cat">
        <cx:f>_xlchart.v1.9</cx:f>
      </cx:strDim>
      <cx:numDim type="val">
        <cx:f>_xlchart.v1.15</cx:f>
      </cx:numDim>
    </cx:data>
    <cx:data id="3">
      <cx:strDim type="cat">
        <cx:f>_xlchart.v1.9</cx:f>
      </cx:strDim>
      <cx:numDim type="val">
        <cx:f>_xlchart.v1.17</cx:f>
      </cx:numDim>
    </cx:data>
  </cx:chartData>
  <cx:chart>
    <cx:title pos="t" align="ctr" overlay="0">
      <cx:tx>
        <cx:txData>
          <cx:v>Cumulative ROI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spc="100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Cumulative ROI</a:t>
          </a:r>
        </a:p>
      </cx:txPr>
    </cx:title>
    <cx:plotArea>
      <cx:plotAreaRegion>
        <cx:series layoutId="boxWhisker" uniqueId="{97B14F8B-F570-4E48-9135-7AB158B7F076}">
          <cx:tx>
            <cx:txData>
              <cx:f>_xlchart.v1.10</cx:f>
              <cx:v>ROI After Year1</cx:v>
            </cx:txData>
          </cx:tx>
          <cx:dataId val="0"/>
          <cx:layoutPr>
            <cx:visibility meanLine="1" meanMarker="1" nonoutliers="0" outliers="1"/>
            <cx:statistics quartileMethod="exclusive"/>
          </cx:layoutPr>
        </cx:series>
        <cx:series layoutId="boxWhisker" uniqueId="{C4E8F88D-2E13-47F9-A499-D3782651ED26}">
          <cx:tx>
            <cx:txData>
              <cx:f>_xlchart.v1.12</cx:f>
              <cx:v>ROI After Year2</cx:v>
            </cx:txData>
          </cx:tx>
          <cx:dataId val="1"/>
          <cx:layoutPr>
            <cx:visibility meanLine="1" meanMarker="1" nonoutliers="0" outliers="1"/>
            <cx:statistics quartileMethod="exclusive"/>
          </cx:layoutPr>
        </cx:series>
        <cx:series layoutId="boxWhisker" uniqueId="{4814C4E1-629A-491E-9897-A5D7933EC3C2}">
          <cx:tx>
            <cx:txData>
              <cx:f>_xlchart.v1.14</cx:f>
              <cx:v>ROI After Year3</cx:v>
            </cx:txData>
          </cx:tx>
          <cx:dataId val="2"/>
          <cx:layoutPr>
            <cx:visibility meanLine="1" meanMarker="1" nonoutliers="0" outliers="1"/>
            <cx:statistics quartileMethod="exclusive"/>
          </cx:layoutPr>
        </cx:series>
        <cx:series layoutId="boxWhisker" uniqueId="{43CD9311-B7A6-4DBC-9CEC-0CBAF9C647A9}">
          <cx:tx>
            <cx:txData>
              <cx:f>_xlchart.v1.16</cx:f>
              <cx:v>ROI After Year 4</cx:v>
            </cx:txData>
          </cx:tx>
          <cx:dataId val="3"/>
          <cx:layoutPr>
            <cx:visibility meanLine="1" meanMarker="1" nonoutliers="0" outliers="1"/>
            <cx:statistics quartileMethod="exclusive"/>
          </cx:layoutPr>
        </cx:series>
      </cx:plotAreaRegion>
      <cx:axis id="0">
        <cx:catScaling gapWidth="1.5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B$13" inc="50" max="30000" page="10" val="0"/>
</file>

<file path=xl/ctrlProps/ctrlProp2.xml><?xml version="1.0" encoding="utf-8"?>
<formControlPr xmlns="http://schemas.microsoft.com/office/spreadsheetml/2009/9/main" objectType="Spin" dx="26" fmlaLink="$B$13" inc="50" max="30000" page="10" val="0"/>
</file>

<file path=xl/ctrlProps/ctrlProp3.xml><?xml version="1.0" encoding="utf-8"?>
<formControlPr xmlns="http://schemas.microsoft.com/office/spreadsheetml/2009/9/main" objectType="Spin" dx="26" fmlaLink="$B$15" inc="50" max="30000" page="10" val="1200"/>
</file>

<file path=xl/ctrlProps/ctrlProp4.xml><?xml version="1.0" encoding="utf-8"?>
<formControlPr xmlns="http://schemas.microsoft.com/office/spreadsheetml/2009/9/main" objectType="Spin" dx="26" fmlaLink="$B$15" inc="50" max="30000" page="10" val="120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7.svg"/><Relationship Id="rId18" Type="http://schemas.openxmlformats.org/officeDocument/2006/relationships/image" Target="../media/image12.png"/><Relationship Id="rId26" Type="http://schemas.openxmlformats.org/officeDocument/2006/relationships/chart" Target="../charts/chart11.xml"/><Relationship Id="rId3" Type="http://schemas.openxmlformats.org/officeDocument/2006/relationships/chart" Target="../charts/chart4.xml"/><Relationship Id="rId21" Type="http://schemas.openxmlformats.org/officeDocument/2006/relationships/image" Target="../media/image15.svg"/><Relationship Id="rId7" Type="http://schemas.openxmlformats.org/officeDocument/2006/relationships/chart" Target="../charts/chart8.xml"/><Relationship Id="rId12" Type="http://schemas.openxmlformats.org/officeDocument/2006/relationships/image" Target="../media/image6.png"/><Relationship Id="rId17" Type="http://schemas.openxmlformats.org/officeDocument/2006/relationships/image" Target="../media/image11.svg"/><Relationship Id="rId25" Type="http://schemas.openxmlformats.org/officeDocument/2006/relationships/image" Target="../media/image17.svg"/><Relationship Id="rId2" Type="http://schemas.microsoft.com/office/2014/relationships/chartEx" Target="../charts/chartEx1.xml"/><Relationship Id="rId16" Type="http://schemas.openxmlformats.org/officeDocument/2006/relationships/image" Target="../media/image10.png"/><Relationship Id="rId20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chart" Target="../charts/chart7.xml"/><Relationship Id="rId11" Type="http://schemas.openxmlformats.org/officeDocument/2006/relationships/image" Target="../media/image5.svg"/><Relationship Id="rId24" Type="http://schemas.openxmlformats.org/officeDocument/2006/relationships/image" Target="../media/image16.png"/><Relationship Id="rId5" Type="http://schemas.openxmlformats.org/officeDocument/2006/relationships/chart" Target="../charts/chart6.xml"/><Relationship Id="rId15" Type="http://schemas.openxmlformats.org/officeDocument/2006/relationships/image" Target="../media/image9.svg"/><Relationship Id="rId23" Type="http://schemas.openxmlformats.org/officeDocument/2006/relationships/chart" Target="../charts/chart10.xml"/><Relationship Id="rId10" Type="http://schemas.openxmlformats.org/officeDocument/2006/relationships/image" Target="../media/image4.png"/><Relationship Id="rId19" Type="http://schemas.openxmlformats.org/officeDocument/2006/relationships/image" Target="../media/image13.svg"/><Relationship Id="rId4" Type="http://schemas.openxmlformats.org/officeDocument/2006/relationships/chart" Target="../charts/chart5.xml"/><Relationship Id="rId9" Type="http://schemas.openxmlformats.org/officeDocument/2006/relationships/image" Target="../media/image3.svg"/><Relationship Id="rId14" Type="http://schemas.openxmlformats.org/officeDocument/2006/relationships/image" Target="../media/image8.png"/><Relationship Id="rId22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7" Type="http://schemas.openxmlformats.org/officeDocument/2006/relationships/chart" Target="../charts/chart17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14/relationships/chartEx" Target="../charts/chartEx2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11952</xdr:colOff>
      <xdr:row>23</xdr:row>
      <xdr:rowOff>1196</xdr:rowOff>
    </xdr:from>
    <xdr:to>
      <xdr:col>2</xdr:col>
      <xdr:colOff>1199327</xdr:colOff>
      <xdr:row>35</xdr:row>
      <xdr:rowOff>2839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52" y="4008420"/>
          <a:ext cx="4121075" cy="2300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571500</xdr:colOff>
      <xdr:row>6</xdr:row>
      <xdr:rowOff>323850</xdr:rowOff>
    </xdr:from>
    <xdr:to>
      <xdr:col>10</xdr:col>
      <xdr:colOff>828675</xdr:colOff>
      <xdr:row>15</xdr:row>
      <xdr:rowOff>161925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000-000009000000}"/>
            </a:ext>
            <a:ext uri="{147F2762-F138-4A5C-976F-8EAC2B608ADB}">
              <a16:predDERef xmlns:a16="http://schemas.microsoft.com/office/drawing/2014/main" pre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</xdr:row>
      <xdr:rowOff>0</xdr:rowOff>
    </xdr:from>
    <xdr:to>
      <xdr:col>2</xdr:col>
      <xdr:colOff>1150284</xdr:colOff>
      <xdr:row>15</xdr:row>
      <xdr:rowOff>131669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  <a:ext uri="{147F2762-F138-4A5C-976F-8EAC2B608ADB}">
              <a16:predDERef xmlns:a16="http://schemas.microsoft.com/office/drawing/2014/main" pred="{D19FE9E8-B744-F6FF-BE42-E449E201F5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674913</xdr:colOff>
      <xdr:row>6</xdr:row>
      <xdr:rowOff>-1</xdr:rowOff>
    </xdr:from>
    <xdr:to>
      <xdr:col>27</xdr:col>
      <xdr:colOff>1143000</xdr:colOff>
      <xdr:row>15</xdr:row>
      <xdr:rowOff>127315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2768600</xdr:colOff>
          <xdr:row>14</xdr:row>
          <xdr:rowOff>6350</xdr:rowOff>
        </xdr:from>
        <xdr:to>
          <xdr:col>44</xdr:col>
          <xdr:colOff>3111500</xdr:colOff>
          <xdr:row>14</xdr:row>
          <xdr:rowOff>177800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2768600</xdr:colOff>
          <xdr:row>14</xdr:row>
          <xdr:rowOff>6350</xdr:rowOff>
        </xdr:from>
        <xdr:to>
          <xdr:col>44</xdr:col>
          <xdr:colOff>3111500</xdr:colOff>
          <xdr:row>14</xdr:row>
          <xdr:rowOff>177800</xdr:rowOff>
        </xdr:to>
        <xdr:sp macro="" textlink="">
          <xdr:nvSpPr>
            <xdr:cNvPr id="5130" name="Spinner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43</xdr:col>
      <xdr:colOff>421659</xdr:colOff>
      <xdr:row>24</xdr:row>
      <xdr:rowOff>46787</xdr:rowOff>
    </xdr:from>
    <xdr:to>
      <xdr:col>50</xdr:col>
      <xdr:colOff>288574</xdr:colOff>
      <xdr:row>41</xdr:row>
      <xdr:rowOff>151264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9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366659" y="7469937"/>
              <a:ext cx="9430015" cy="4143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43</xdr:col>
      <xdr:colOff>1064682</xdr:colOff>
      <xdr:row>34</xdr:row>
      <xdr:rowOff>152400</xdr:rowOff>
    </xdr:from>
    <xdr:to>
      <xdr:col>50</xdr:col>
      <xdr:colOff>38100</xdr:colOff>
      <xdr:row>34</xdr:row>
      <xdr:rowOff>238579</xdr:rowOff>
    </xdr:to>
    <xdr:cxnSp macro="">
      <xdr:nvCxnSpPr>
        <xdr:cNvPr id="24" name="Straight Connector 1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 flipV="1">
          <a:off x="67863507" y="9820275"/>
          <a:ext cx="8384118" cy="86179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348343</xdr:colOff>
      <xdr:row>6</xdr:row>
      <xdr:rowOff>174171</xdr:rowOff>
    </xdr:from>
    <xdr:to>
      <xdr:col>11</xdr:col>
      <xdr:colOff>371929</xdr:colOff>
      <xdr:row>17</xdr:row>
      <xdr:rowOff>108856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566058</xdr:colOff>
      <xdr:row>6</xdr:row>
      <xdr:rowOff>174172</xdr:rowOff>
    </xdr:from>
    <xdr:to>
      <xdr:col>15</xdr:col>
      <xdr:colOff>752929</xdr:colOff>
      <xdr:row>17</xdr:row>
      <xdr:rowOff>140021</xdr:rowOff>
    </xdr:to>
    <xdr:graphicFrame macro="">
      <xdr:nvGraphicFramePr>
        <xdr:cNvPr id="32" name="Chart 5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348343</xdr:colOff>
      <xdr:row>38</xdr:row>
      <xdr:rowOff>172358</xdr:rowOff>
    </xdr:from>
    <xdr:to>
      <xdr:col>12</xdr:col>
      <xdr:colOff>1263704</xdr:colOff>
      <xdr:row>51</xdr:row>
      <xdr:rowOff>109178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417285</xdr:colOff>
      <xdr:row>5</xdr:row>
      <xdr:rowOff>45355</xdr:rowOff>
    </xdr:from>
    <xdr:to>
      <xdr:col>41</xdr:col>
      <xdr:colOff>362858</xdr:colOff>
      <xdr:row>16</xdr:row>
      <xdr:rowOff>163285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226784</xdr:colOff>
      <xdr:row>5</xdr:row>
      <xdr:rowOff>54427</xdr:rowOff>
    </xdr:from>
    <xdr:to>
      <xdr:col>33</xdr:col>
      <xdr:colOff>965199</xdr:colOff>
      <xdr:row>16</xdr:row>
      <xdr:rowOff>163284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1201965</xdr:colOff>
      <xdr:row>0</xdr:row>
      <xdr:rowOff>55563</xdr:rowOff>
    </xdr:from>
    <xdr:to>
      <xdr:col>1</xdr:col>
      <xdr:colOff>1709964</xdr:colOff>
      <xdr:row>1</xdr:row>
      <xdr:rowOff>100919</xdr:rowOff>
    </xdr:to>
    <xdr:pic>
      <xdr:nvPicPr>
        <xdr:cNvPr id="14" name="Graphic 13" descr="Briefcase with solid fil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488090" y="55563"/>
          <a:ext cx="507999" cy="505731"/>
        </a:xfrm>
        <a:prstGeom prst="rect">
          <a:avLst/>
        </a:prstGeom>
      </xdr:spPr>
    </xdr:pic>
    <xdr:clientData/>
  </xdr:twoCellAnchor>
  <xdr:twoCellAnchor editAs="oneCell">
    <xdr:from>
      <xdr:col>0</xdr:col>
      <xdr:colOff>517072</xdr:colOff>
      <xdr:row>12</xdr:row>
      <xdr:rowOff>45357</xdr:rowOff>
    </xdr:from>
    <xdr:to>
      <xdr:col>0</xdr:col>
      <xdr:colOff>1097644</xdr:colOff>
      <xdr:row>14</xdr:row>
      <xdr:rowOff>127000</xdr:rowOff>
    </xdr:to>
    <xdr:pic>
      <xdr:nvPicPr>
        <xdr:cNvPr id="16" name="Graphic 15" descr="Flying Money with solid fill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17072" y="3918857"/>
          <a:ext cx="580572" cy="580572"/>
        </a:xfrm>
        <a:prstGeom prst="rect">
          <a:avLst/>
        </a:prstGeom>
      </xdr:spPr>
    </xdr:pic>
    <xdr:clientData/>
  </xdr:twoCellAnchor>
  <xdr:twoCellAnchor editAs="oneCell">
    <xdr:from>
      <xdr:col>9</xdr:col>
      <xdr:colOff>1308554</xdr:colOff>
      <xdr:row>0</xdr:row>
      <xdr:rowOff>71437</xdr:rowOff>
    </xdr:from>
    <xdr:to>
      <xdr:col>9</xdr:col>
      <xdr:colOff>1855108</xdr:colOff>
      <xdr:row>1</xdr:row>
      <xdr:rowOff>153080</xdr:rowOff>
    </xdr:to>
    <xdr:pic>
      <xdr:nvPicPr>
        <xdr:cNvPr id="18" name="Graphic 17" descr="Bar graph with upward trend with solid fill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0001367" y="71437"/>
          <a:ext cx="546554" cy="542018"/>
        </a:xfrm>
        <a:prstGeom prst="rect">
          <a:avLst/>
        </a:prstGeom>
      </xdr:spPr>
    </xdr:pic>
    <xdr:clientData/>
  </xdr:twoCellAnchor>
  <xdr:twoCellAnchor>
    <xdr:from>
      <xdr:col>7</xdr:col>
      <xdr:colOff>117927</xdr:colOff>
      <xdr:row>18</xdr:row>
      <xdr:rowOff>154215</xdr:rowOff>
    </xdr:from>
    <xdr:to>
      <xdr:col>15</xdr:col>
      <xdr:colOff>199571</xdr:colOff>
      <xdr:row>21</xdr:row>
      <xdr:rowOff>18144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14233070" y="5442858"/>
          <a:ext cx="11811001" cy="1288143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Assumption: Nonetheless, the demand curves provided a useful basis to recommend adjustments to Studio Starfire's class prices</a:t>
          </a:r>
          <a:r>
            <a:rPr lang="en-US" sz="1600" b="1" i="1"/>
            <a:t> </a:t>
          </a:r>
          <a:r>
            <a:rPr lang="en-US" sz="16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Studio Starfire's class prices are flat across all class types regardless of difficulty or type. </a:t>
          </a:r>
        </a:p>
        <a:p>
          <a:r>
            <a:rPr lang="en-US" sz="1600" b="1" i="1"/>
            <a:t> </a:t>
          </a:r>
          <a:r>
            <a:rPr lang="en-US" sz="16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Using Solver, and assuming same number of class runs as in year 2022, we used demand curves to help compute recommended price changes and impact on profit. </a:t>
          </a:r>
          <a:r>
            <a:rPr lang="en-US" sz="1600" b="1" i="1"/>
            <a:t> </a:t>
          </a:r>
        </a:p>
      </xdr:txBody>
    </xdr:sp>
    <xdr:clientData/>
  </xdr:twoCellAnchor>
  <xdr:twoCellAnchor>
    <xdr:from>
      <xdr:col>10</xdr:col>
      <xdr:colOff>181428</xdr:colOff>
      <xdr:row>32</xdr:row>
      <xdr:rowOff>235858</xdr:rowOff>
    </xdr:from>
    <xdr:to>
      <xdr:col>15</xdr:col>
      <xdr:colOff>752928</xdr:colOff>
      <xdr:row>37</xdr:row>
      <xdr:rowOff>63500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20446999" y="9769929"/>
          <a:ext cx="8372929" cy="117021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As the market is niche and quite inelastic to prices, there is a possibility that expected demand may not increase/decrease with new prices set. </a:t>
          </a:r>
          <a:r>
            <a:rPr lang="en-US" sz="1600" b="1" i="1"/>
            <a:t> </a:t>
          </a:r>
        </a:p>
        <a:p>
          <a:r>
            <a:rPr lang="en-US" sz="16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Based on sensitivity analysis of profits against enrolment rate, it is useful to consider other strategies to increase enrolment rate as well. </a:t>
          </a:r>
          <a:r>
            <a:rPr lang="en-US" sz="1600" b="1" i="1"/>
            <a:t> </a:t>
          </a:r>
        </a:p>
      </xdr:txBody>
    </xdr:sp>
    <xdr:clientData/>
  </xdr:twoCellAnchor>
  <xdr:twoCellAnchor>
    <xdr:from>
      <xdr:col>6</xdr:col>
      <xdr:colOff>390071</xdr:colOff>
      <xdr:row>3</xdr:row>
      <xdr:rowOff>217716</xdr:rowOff>
    </xdr:from>
    <xdr:to>
      <xdr:col>11</xdr:col>
      <xdr:colOff>662214</xdr:colOff>
      <xdr:row>5</xdr:row>
      <xdr:rowOff>172357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14931571" y="1387930"/>
          <a:ext cx="7892143" cy="426356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The industry is quite niche with relatively flat (inelastic) price-demand curve is class types. </a:t>
          </a:r>
          <a:r>
            <a:rPr lang="en-US" sz="1600" b="1" i="1"/>
            <a:t> </a:t>
          </a:r>
        </a:p>
      </xdr:txBody>
    </xdr:sp>
    <xdr:clientData/>
  </xdr:twoCellAnchor>
  <xdr:twoCellAnchor>
    <xdr:from>
      <xdr:col>17</xdr:col>
      <xdr:colOff>333374</xdr:colOff>
      <xdr:row>3</xdr:row>
      <xdr:rowOff>15873</xdr:rowOff>
    </xdr:from>
    <xdr:to>
      <xdr:col>24</xdr:col>
      <xdr:colOff>63500</xdr:colOff>
      <xdr:row>7</xdr:row>
      <xdr:rowOff>127000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30448249" y="1190623"/>
          <a:ext cx="11001376" cy="1063627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Assumptions:</a:t>
          </a:r>
          <a:r>
            <a:rPr lang="en-US" sz="1400" b="1" i="1"/>
            <a:t> </a:t>
          </a:r>
        </a:p>
        <a:p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Each Class is run for 8 weeks. 8 Weeks make a term. There are 6 terms in a year. (reference: 'Studio capacity' worksheet)</a:t>
          </a:r>
        </a:p>
        <a:p>
          <a:r>
            <a:rPr lang="en-US" sz="1400" b="1" i="1"/>
            <a:t> </a:t>
          </a:r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In each term, classes are only conducted on weekday evenings or weekend mornings/afternoons, as there is no demand during other slots.</a:t>
          </a:r>
        </a:p>
        <a:p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="1" i="1"/>
            <a:t> </a:t>
          </a:r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There is only 1 studio in studio starfire. No classes can be run in parallel</a:t>
          </a:r>
          <a:r>
            <a:rPr lang="en-US" sz="1400" b="1" i="1"/>
            <a:t> </a:t>
          </a:r>
        </a:p>
      </xdr:txBody>
    </xdr:sp>
    <xdr:clientData/>
  </xdr:twoCellAnchor>
  <xdr:twoCellAnchor editAs="oneCell">
    <xdr:from>
      <xdr:col>21</xdr:col>
      <xdr:colOff>865188</xdr:colOff>
      <xdr:row>0</xdr:row>
      <xdr:rowOff>71437</xdr:rowOff>
    </xdr:from>
    <xdr:to>
      <xdr:col>22</xdr:col>
      <xdr:colOff>4319</xdr:colOff>
      <xdr:row>1</xdr:row>
      <xdr:rowOff>127000</xdr:rowOff>
    </xdr:to>
    <xdr:pic>
      <xdr:nvPicPr>
        <xdr:cNvPr id="23" name="Graphic 22" descr="Bar graph with upward trend with solid fill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37933313" y="71437"/>
          <a:ext cx="520256" cy="515938"/>
        </a:xfrm>
        <a:prstGeom prst="rect">
          <a:avLst/>
        </a:prstGeom>
      </xdr:spPr>
    </xdr:pic>
    <xdr:clientData/>
  </xdr:twoCellAnchor>
  <xdr:twoCellAnchor>
    <xdr:from>
      <xdr:col>16</xdr:col>
      <xdr:colOff>587374</xdr:colOff>
      <xdr:row>14</xdr:row>
      <xdr:rowOff>111125</xdr:rowOff>
    </xdr:from>
    <xdr:to>
      <xdr:col>22</xdr:col>
      <xdr:colOff>277812</xdr:colOff>
      <xdr:row>17</xdr:row>
      <xdr:rowOff>150813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0091062" y="4516438"/>
          <a:ext cx="8040688" cy="754063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In 2022, 108 classes were run over 5 terms, this a lost opportunity of 54 slots or 33% of studio capacity. </a:t>
          </a:r>
          <a:r>
            <a:rPr lang="en-US" sz="1400" b="1" i="1"/>
            <a:t> </a:t>
          </a:r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While this was due to Covid closure, it could be optimised. </a:t>
          </a:r>
        </a:p>
        <a:p>
          <a:r>
            <a:rPr lang="en-US" sz="1400" b="1" i="1"/>
            <a:t> </a:t>
          </a:r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For example in Jan 22, the following classes were run, with corresponding enrolment rate and profit.</a:t>
          </a:r>
          <a:r>
            <a:rPr lang="en-US" sz="1400" b="1" i="1"/>
            <a:t> </a:t>
          </a:r>
        </a:p>
      </xdr:txBody>
    </xdr:sp>
    <xdr:clientData/>
  </xdr:twoCellAnchor>
  <xdr:twoCellAnchor>
    <xdr:from>
      <xdr:col>17</xdr:col>
      <xdr:colOff>31749</xdr:colOff>
      <xdr:row>28</xdr:row>
      <xdr:rowOff>103188</xdr:rowOff>
    </xdr:from>
    <xdr:to>
      <xdr:col>24</xdr:col>
      <xdr:colOff>777875</xdr:colOff>
      <xdr:row>32</xdr:row>
      <xdr:rowOff>31750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30146624" y="8532813"/>
          <a:ext cx="12898439" cy="8255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One way to increase profit is to maximise the studio capacity every term, optimise the runs of classes, using the new class prices generated in the pricing model. </a:t>
          </a:r>
          <a:r>
            <a:rPr lang="en-US" sz="1400" b="1" i="1"/>
            <a:t> </a:t>
          </a:r>
        </a:p>
        <a:p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Solver can help to identify the number of runs for each class, based on constrains such as studio capacity, number of instructors</a:t>
          </a:r>
          <a:r>
            <a:rPr lang="en-US" sz="1400" b="1" i="1"/>
            <a:t> </a:t>
          </a:r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en-US" sz="1400" b="1" i="1"/>
            <a:t> </a:t>
          </a:r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Currently,  starfire has 8 qualified instructors who can teach each class type is as below. For well-being, we set a</a:t>
          </a:r>
          <a:r>
            <a:rPr lang="en-US" sz="1400" b="1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constraint that each instructor should not teach more than 5 classes </a:t>
          </a:r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en-US" sz="1400" b="1" i="1"/>
            <a:t> </a:t>
          </a:r>
        </a:p>
      </xdr:txBody>
    </xdr:sp>
    <xdr:clientData/>
  </xdr:twoCellAnchor>
  <xdr:oneCellAnchor>
    <xdr:from>
      <xdr:col>22</xdr:col>
      <xdr:colOff>2103437</xdr:colOff>
      <xdr:row>54</xdr:row>
      <xdr:rowOff>15875</xdr:rowOff>
    </xdr:from>
    <xdr:ext cx="184731" cy="264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0608250" y="1412081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28</xdr:col>
      <xdr:colOff>198437</xdr:colOff>
      <xdr:row>17</xdr:row>
      <xdr:rowOff>31750</xdr:rowOff>
    </xdr:from>
    <xdr:to>
      <xdr:col>42</xdr:col>
      <xdr:colOff>269875</xdr:colOff>
      <xdr:row>22</xdr:row>
      <xdr:rowOff>111125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51085750" y="4667250"/>
          <a:ext cx="15367000" cy="1976438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fontAlgn="base"/>
          <a:r>
            <a:rPr lang="en-SG" sz="14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-Studio Starfire currently has a $1,500 budget per year for marketing. </a:t>
          </a:r>
        </a:p>
        <a:p>
          <a:pPr fontAlgn="base"/>
          <a:r>
            <a:rPr lang="en-SG" sz="14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-Due to their student base mainly young working adults who are avid social media users, they have strived to maintain a presence on Instagram ---(@studiostarfire) and TikTok (@studiostarfire), along with a fortnightly email newsletter. </a:t>
          </a:r>
        </a:p>
        <a:p>
          <a:pPr fontAlgn="base"/>
          <a:r>
            <a:rPr lang="en-SG" sz="14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n-US" sz="14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SG" sz="14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-The budget spend on various paid ad campaigns were analysed for years 2021 and 2022. </a:t>
          </a:r>
        </a:p>
        <a:p>
          <a:r>
            <a:rPr lang="en-SG" sz="14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The CPA, given by the amount of money spent per customer who signs up for a class, is the lowest for TikTok. </a:t>
          </a:r>
        </a:p>
        <a:p>
          <a:r>
            <a:rPr lang="en-SG" sz="14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-This means marketing on Tiktok is most effective, as less ad budget is required to get a customer to sign up for a class with the studio. </a:t>
          </a:r>
        </a:p>
        <a:p>
          <a:r>
            <a:rPr lang="en-SG" sz="14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-It can be observed that number of customers acquired from Tiktok is the greatest which also translates to the</a:t>
          </a:r>
          <a:r>
            <a:rPr lang="en-SG" sz="14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large amount of sales generated through Tiktok</a:t>
          </a:r>
          <a:r>
            <a:rPr lang="en-SG" sz="14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sz="1400" b="1" i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28</xdr:col>
      <xdr:colOff>468312</xdr:colOff>
      <xdr:row>0</xdr:row>
      <xdr:rowOff>0</xdr:rowOff>
    </xdr:from>
    <xdr:to>
      <xdr:col>28</xdr:col>
      <xdr:colOff>1023938</xdr:colOff>
      <xdr:row>1</xdr:row>
      <xdr:rowOff>95251</xdr:rowOff>
    </xdr:to>
    <xdr:pic>
      <xdr:nvPicPr>
        <xdr:cNvPr id="30" name="Graphic 29" descr="Handshake with solid fill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51355625" y="0"/>
          <a:ext cx="555626" cy="555626"/>
        </a:xfrm>
        <a:prstGeom prst="rect">
          <a:avLst/>
        </a:prstGeom>
      </xdr:spPr>
    </xdr:pic>
    <xdr:clientData/>
  </xdr:twoCellAnchor>
  <xdr:twoCellAnchor>
    <xdr:from>
      <xdr:col>43</xdr:col>
      <xdr:colOff>75200</xdr:colOff>
      <xdr:row>8</xdr:row>
      <xdr:rowOff>33319</xdr:rowOff>
    </xdr:from>
    <xdr:to>
      <xdr:col>50</xdr:col>
      <xdr:colOff>184057</xdr:colOff>
      <xdr:row>10</xdr:row>
      <xdr:rowOff>113011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66896191" y="2319319"/>
          <a:ext cx="9502109" cy="535468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Initial</a:t>
          </a:r>
          <a:r>
            <a:rPr lang="en-US" sz="1400" b="1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investment is $150,000</a:t>
          </a:r>
          <a:endParaRPr lang="en-US" sz="1400" b="1" i="1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Highlighted</a:t>
          </a:r>
          <a:r>
            <a:rPr lang="en-US" sz="1400" b="1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red depict places with good ROI but business does not have sufficient funds for expansion</a:t>
          </a:r>
          <a:endParaRPr lang="en-US" sz="1400" b="1" i="1"/>
        </a:p>
      </xdr:txBody>
    </xdr:sp>
    <xdr:clientData/>
  </xdr:twoCellAnchor>
  <xdr:twoCellAnchor>
    <xdr:from>
      <xdr:col>50</xdr:col>
      <xdr:colOff>500442</xdr:colOff>
      <xdr:row>28</xdr:row>
      <xdr:rowOff>168729</xdr:rowOff>
    </xdr:from>
    <xdr:to>
      <xdr:col>57</xdr:col>
      <xdr:colOff>213784</xdr:colOff>
      <xdr:row>32</xdr:row>
      <xdr:rowOff>135467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76708909" y="8474529"/>
          <a:ext cx="7020075" cy="847271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Cumulative ROI over a four-year period, showing the total ROI at the end of each year</a:t>
          </a:r>
          <a:r>
            <a:rPr lang="en-US" sz="1400" b="1" i="1"/>
            <a:t> </a:t>
          </a:r>
        </a:p>
        <a:p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Higher ROI can be expected with prime locations. However, more investment is required to open a branch in those locations.</a:t>
          </a:r>
          <a:endParaRPr lang="en-US" sz="1400" b="1" i="1"/>
        </a:p>
      </xdr:txBody>
    </xdr:sp>
    <xdr:clientData/>
  </xdr:twoCellAnchor>
  <xdr:twoCellAnchor editAs="oneCell">
    <xdr:from>
      <xdr:col>29</xdr:col>
      <xdr:colOff>1660071</xdr:colOff>
      <xdr:row>23</xdr:row>
      <xdr:rowOff>9071</xdr:rowOff>
    </xdr:from>
    <xdr:to>
      <xdr:col>29</xdr:col>
      <xdr:colOff>2186215</xdr:colOff>
      <xdr:row>25</xdr:row>
      <xdr:rowOff>27215</xdr:rowOff>
    </xdr:to>
    <xdr:pic>
      <xdr:nvPicPr>
        <xdr:cNvPr id="41" name="Graphic 40" descr="Coins with solid fill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54011285" y="7248071"/>
          <a:ext cx="526144" cy="526144"/>
        </a:xfrm>
        <a:prstGeom prst="rect">
          <a:avLst/>
        </a:prstGeom>
      </xdr:spPr>
    </xdr:pic>
    <xdr:clientData/>
  </xdr:twoCellAnchor>
  <xdr:twoCellAnchor editAs="oneCell">
    <xdr:from>
      <xdr:col>48</xdr:col>
      <xdr:colOff>5443</xdr:colOff>
      <xdr:row>0</xdr:row>
      <xdr:rowOff>25400</xdr:rowOff>
    </xdr:from>
    <xdr:to>
      <xdr:col>48</xdr:col>
      <xdr:colOff>513443</xdr:colOff>
      <xdr:row>1</xdr:row>
      <xdr:rowOff>70757</xdr:rowOff>
    </xdr:to>
    <xdr:pic>
      <xdr:nvPicPr>
        <xdr:cNvPr id="43" name="Graphic 42" descr="Business Growth with solid fill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3724710" y="25400"/>
          <a:ext cx="508000" cy="511024"/>
        </a:xfrm>
        <a:prstGeom prst="rect">
          <a:avLst/>
        </a:prstGeom>
      </xdr:spPr>
    </xdr:pic>
    <xdr:clientData/>
  </xdr:twoCellAnchor>
  <xdr:twoCellAnchor editAs="oneCell">
    <xdr:from>
      <xdr:col>43</xdr:col>
      <xdr:colOff>1207178</xdr:colOff>
      <xdr:row>10</xdr:row>
      <xdr:rowOff>189058</xdr:rowOff>
    </xdr:from>
    <xdr:to>
      <xdr:col>43</xdr:col>
      <xdr:colOff>1669821</xdr:colOff>
      <xdr:row>11</xdr:row>
      <xdr:rowOff>412156</xdr:rowOff>
    </xdr:to>
    <xdr:pic>
      <xdr:nvPicPr>
        <xdr:cNvPr id="45" name="Graphic 44" descr="Pin with solid fill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8028169" y="2930834"/>
          <a:ext cx="462643" cy="458107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51</xdr:row>
      <xdr:rowOff>76200</xdr:rowOff>
    </xdr:from>
    <xdr:to>
      <xdr:col>25</xdr:col>
      <xdr:colOff>783166</xdr:colOff>
      <xdr:row>68</xdr:row>
      <xdr:rowOff>10583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52</xdr:col>
      <xdr:colOff>284860</xdr:colOff>
      <xdr:row>4</xdr:row>
      <xdr:rowOff>135308</xdr:rowOff>
    </xdr:from>
    <xdr:to>
      <xdr:col>56</xdr:col>
      <xdr:colOff>940037</xdr:colOff>
      <xdr:row>4</xdr:row>
      <xdr:rowOff>149551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79034355" y="1495514"/>
          <a:ext cx="4215925" cy="142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284860</xdr:colOff>
      <xdr:row>4</xdr:row>
      <xdr:rowOff>149551</xdr:rowOff>
    </xdr:from>
    <xdr:to>
      <xdr:col>52</xdr:col>
      <xdr:colOff>299103</xdr:colOff>
      <xdr:row>5</xdr:row>
      <xdr:rowOff>64094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rot="420000">
          <a:off x="79034355" y="1509757"/>
          <a:ext cx="14243" cy="142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932916</xdr:colOff>
      <xdr:row>4</xdr:row>
      <xdr:rowOff>149551</xdr:rowOff>
    </xdr:from>
    <xdr:to>
      <xdr:col>56</xdr:col>
      <xdr:colOff>947159</xdr:colOff>
      <xdr:row>5</xdr:row>
      <xdr:rowOff>64094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rot="420000">
          <a:off x="83243159" y="1509757"/>
          <a:ext cx="14243" cy="142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3</xdr:row>
      <xdr:rowOff>135309</xdr:rowOff>
    </xdr:from>
    <xdr:to>
      <xdr:col>55</xdr:col>
      <xdr:colOff>149551</xdr:colOff>
      <xdr:row>4</xdr:row>
      <xdr:rowOff>99701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80330467" y="1267627"/>
          <a:ext cx="1338841" cy="1922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/>
            <a:t>Not suffiscient</a:t>
          </a:r>
          <a:r>
            <a:rPr lang="en-US" sz="900" b="1" baseline="0"/>
            <a:t> funds</a:t>
          </a:r>
          <a:endParaRPr lang="en-US" sz="900" b="1"/>
        </a:p>
      </xdr:txBody>
    </xdr:sp>
    <xdr:clientData/>
  </xdr:twoCellAnchor>
  <xdr:twoCellAnchor>
    <xdr:from>
      <xdr:col>49</xdr:col>
      <xdr:colOff>252813</xdr:colOff>
      <xdr:row>12</xdr:row>
      <xdr:rowOff>113232</xdr:rowOff>
    </xdr:from>
    <xdr:to>
      <xdr:col>54</xdr:col>
      <xdr:colOff>821267</xdr:colOff>
      <xdr:row>21</xdr:row>
      <xdr:rowOff>36320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oneCellAnchor>
    <xdr:from>
      <xdr:col>43</xdr:col>
      <xdr:colOff>988785</xdr:colOff>
      <xdr:row>21</xdr:row>
      <xdr:rowOff>127000</xdr:rowOff>
    </xdr:from>
    <xdr:ext cx="680357" cy="662299"/>
    <xdr:pic>
      <xdr:nvPicPr>
        <xdr:cNvPr id="39" name="Graphic 38" descr="Money with solid fill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7809776" y="10146944"/>
          <a:ext cx="680357" cy="662299"/>
        </a:xfrm>
        <a:prstGeom prst="rect">
          <a:avLst/>
        </a:prstGeom>
      </xdr:spPr>
    </xdr:pic>
    <xdr:clientData/>
  </xdr:oneCellAnchor>
  <xdr:twoCellAnchor>
    <xdr:from>
      <xdr:col>43</xdr:col>
      <xdr:colOff>491067</xdr:colOff>
      <xdr:row>45</xdr:row>
      <xdr:rowOff>143934</xdr:rowOff>
    </xdr:from>
    <xdr:to>
      <xdr:col>50</xdr:col>
      <xdr:colOff>25399</xdr:colOff>
      <xdr:row>59</xdr:row>
      <xdr:rowOff>110067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oneCellAnchor>
    <xdr:from>
      <xdr:col>43</xdr:col>
      <xdr:colOff>988785</xdr:colOff>
      <xdr:row>42</xdr:row>
      <xdr:rowOff>127000</xdr:rowOff>
    </xdr:from>
    <xdr:ext cx="680357" cy="662299"/>
    <xdr:pic>
      <xdr:nvPicPr>
        <xdr:cNvPr id="8" name="Graphic 7" descr="Money with solid fill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7799252" y="6502400"/>
          <a:ext cx="680357" cy="662299"/>
        </a:xfrm>
        <a:prstGeom prst="rect">
          <a:avLst/>
        </a:prstGeom>
      </xdr:spPr>
    </xdr:pic>
    <xdr:clientData/>
  </xdr:oneCellAnchor>
  <xdr:twoCellAnchor>
    <xdr:from>
      <xdr:col>50</xdr:col>
      <xdr:colOff>440268</xdr:colOff>
      <xdr:row>49</xdr:row>
      <xdr:rowOff>8467</xdr:rowOff>
    </xdr:from>
    <xdr:to>
      <xdr:col>56</xdr:col>
      <xdr:colOff>762001</xdr:colOff>
      <xdr:row>53</xdr:row>
      <xdr:rowOff>68338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6648735" y="13208000"/>
          <a:ext cx="6434666" cy="847271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</a:t>
          </a:r>
          <a:r>
            <a:rPr lang="en-US" sz="1400" b="1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 decreases</a:t>
          </a:r>
          <a:r>
            <a:rPr lang="en-US" sz="1400" b="1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with inflation rate, and is more evident for more expensive </a:t>
          </a:r>
          <a:endParaRPr lang="en-US" sz="1400" b="1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741318</xdr:colOff>
      <xdr:row>19</xdr:row>
      <xdr:rowOff>119744</xdr:rowOff>
    </xdr:from>
    <xdr:to>
      <xdr:col>15</xdr:col>
      <xdr:colOff>206829</xdr:colOff>
      <xdr:row>35</xdr:row>
      <xdr:rowOff>145869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877839</xdr:colOff>
      <xdr:row>36</xdr:row>
      <xdr:rowOff>135111</xdr:rowOff>
    </xdr:from>
    <xdr:to>
      <xdr:col>21</xdr:col>
      <xdr:colOff>8964</xdr:colOff>
      <xdr:row>55</xdr:row>
      <xdr:rowOff>295836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504700</xdr:colOff>
      <xdr:row>19</xdr:row>
      <xdr:rowOff>139930</xdr:rowOff>
    </xdr:from>
    <xdr:to>
      <xdr:col>25</xdr:col>
      <xdr:colOff>17020</xdr:colOff>
      <xdr:row>34</xdr:row>
      <xdr:rowOff>170410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1122381</xdr:colOff>
      <xdr:row>129</xdr:row>
      <xdr:rowOff>79337</xdr:rowOff>
    </xdr:from>
    <xdr:to>
      <xdr:col>7</xdr:col>
      <xdr:colOff>1312584</xdr:colOff>
      <xdr:row>146</xdr:row>
      <xdr:rowOff>43813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98541" y="24135677"/>
          <a:ext cx="3207724" cy="3073436"/>
        </a:xfrm>
        <a:prstGeom prst="rect">
          <a:avLst/>
        </a:prstGeom>
      </xdr:spPr>
    </xdr:pic>
    <xdr:clientData/>
  </xdr:twoCellAnchor>
  <xdr:twoCellAnchor>
    <xdr:from>
      <xdr:col>7</xdr:col>
      <xdr:colOff>741318</xdr:colOff>
      <xdr:row>19</xdr:row>
      <xdr:rowOff>119744</xdr:rowOff>
    </xdr:from>
    <xdr:to>
      <xdr:col>15</xdr:col>
      <xdr:colOff>206829</xdr:colOff>
      <xdr:row>35</xdr:row>
      <xdr:rowOff>145869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504700</xdr:colOff>
      <xdr:row>19</xdr:row>
      <xdr:rowOff>139930</xdr:rowOff>
    </xdr:from>
    <xdr:to>
      <xdr:col>25</xdr:col>
      <xdr:colOff>17020</xdr:colOff>
      <xdr:row>34</xdr:row>
      <xdr:rowOff>170410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1122381</xdr:colOff>
      <xdr:row>139</xdr:row>
      <xdr:rowOff>79337</xdr:rowOff>
    </xdr:from>
    <xdr:to>
      <xdr:col>7</xdr:col>
      <xdr:colOff>1312584</xdr:colOff>
      <xdr:row>156</xdr:row>
      <xdr:rowOff>43813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98541" y="26162597"/>
          <a:ext cx="3207724" cy="3073436"/>
        </a:xfrm>
        <a:prstGeom prst="rect">
          <a:avLst/>
        </a:prstGeom>
      </xdr:spPr>
    </xdr:pic>
    <xdr:clientData/>
  </xdr:twoCellAnchor>
  <xdr:twoCellAnchor>
    <xdr:from>
      <xdr:col>8</xdr:col>
      <xdr:colOff>511628</xdr:colOff>
      <xdr:row>88</xdr:row>
      <xdr:rowOff>43544</xdr:rowOff>
    </xdr:from>
    <xdr:to>
      <xdr:col>20</xdr:col>
      <xdr:colOff>119743</xdr:colOff>
      <xdr:row>104</xdr:row>
      <xdr:rowOff>119744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582705</xdr:colOff>
      <xdr:row>46</xdr:row>
      <xdr:rowOff>125506</xdr:rowOff>
    </xdr:from>
    <xdr:to>
      <xdr:col>8</xdr:col>
      <xdr:colOff>968187</xdr:colOff>
      <xdr:row>61</xdr:row>
      <xdr:rowOff>44823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296862</xdr:colOff>
      <xdr:row>1</xdr:row>
      <xdr:rowOff>148772</xdr:rowOff>
    </xdr:from>
    <xdr:to>
      <xdr:col>51</xdr:col>
      <xdr:colOff>312421</xdr:colOff>
      <xdr:row>20</xdr:row>
      <xdr:rowOff>9389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500-000004000000}"/>
            </a:ext>
            <a:ext uri="{147F2762-F138-4A5C-976F-8EAC2B608ADB}">
              <a16:predDERef xmlns:a16="http://schemas.microsoft.com/office/drawing/2014/main" pred="{AD9913AC-568B-B922-07F7-2550324E9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36739</xdr:colOff>
      <xdr:row>20</xdr:row>
      <xdr:rowOff>148772</xdr:rowOff>
    </xdr:from>
    <xdr:to>
      <xdr:col>51</xdr:col>
      <xdr:colOff>419100</xdr:colOff>
      <xdr:row>38</xdr:row>
      <xdr:rowOff>71664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600075</xdr:colOff>
      <xdr:row>25</xdr:row>
      <xdr:rowOff>5080</xdr:rowOff>
    </xdr:from>
    <xdr:to>
      <xdr:col>34</xdr:col>
      <xdr:colOff>295275</xdr:colOff>
      <xdr:row>36</xdr:row>
      <xdr:rowOff>172357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45357</xdr:colOff>
      <xdr:row>24</xdr:row>
      <xdr:rowOff>158749</xdr:rowOff>
    </xdr:from>
    <xdr:to>
      <xdr:col>42</xdr:col>
      <xdr:colOff>308429</xdr:colOff>
      <xdr:row>37</xdr:row>
      <xdr:rowOff>54427</xdr:rowOff>
    </xdr:to>
    <xdr:graphicFrame macro="">
      <xdr:nvGraphicFramePr>
        <xdr:cNvPr id="235" name="Chart 4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45810</xdr:colOff>
      <xdr:row>38</xdr:row>
      <xdr:rowOff>67128</xdr:rowOff>
    </xdr:from>
    <xdr:to>
      <xdr:col>34</xdr:col>
      <xdr:colOff>350610</xdr:colOff>
      <xdr:row>53</xdr:row>
      <xdr:rowOff>59871</xdr:rowOff>
    </xdr:to>
    <xdr:graphicFrame macro="">
      <xdr:nvGraphicFramePr>
        <xdr:cNvPr id="12" name="Chart 6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170542</xdr:colOff>
      <xdr:row>1</xdr:row>
      <xdr:rowOff>125184</xdr:rowOff>
    </xdr:from>
    <xdr:to>
      <xdr:col>40</xdr:col>
      <xdr:colOff>208643</xdr:colOff>
      <xdr:row>19</xdr:row>
      <xdr:rowOff>27213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2768600</xdr:colOff>
          <xdr:row>14</xdr:row>
          <xdr:rowOff>6350</xdr:rowOff>
        </xdr:from>
        <xdr:to>
          <xdr:col>1</xdr:col>
          <xdr:colOff>3111500</xdr:colOff>
          <xdr:row>14</xdr:row>
          <xdr:rowOff>177800</xdr:rowOff>
        </xdr:to>
        <xdr:sp macro="" textlink="">
          <xdr:nvSpPr>
            <xdr:cNvPr id="6147" name="Spinner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2768600</xdr:colOff>
          <xdr:row>14</xdr:row>
          <xdr:rowOff>6350</xdr:rowOff>
        </xdr:from>
        <xdr:to>
          <xdr:col>1</xdr:col>
          <xdr:colOff>3111500</xdr:colOff>
          <xdr:row>14</xdr:row>
          <xdr:rowOff>177800</xdr:rowOff>
        </xdr:to>
        <xdr:sp macro="" textlink="">
          <xdr:nvSpPr>
            <xdr:cNvPr id="6148" name="Spinner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3571874</xdr:colOff>
      <xdr:row>72</xdr:row>
      <xdr:rowOff>42863</xdr:rowOff>
    </xdr:from>
    <xdr:to>
      <xdr:col>1</xdr:col>
      <xdr:colOff>3438525</xdr:colOff>
      <xdr:row>86</xdr:row>
      <xdr:rowOff>119063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71</xdr:row>
      <xdr:rowOff>186690</xdr:rowOff>
    </xdr:from>
    <xdr:to>
      <xdr:col>0</xdr:col>
      <xdr:colOff>3558540</xdr:colOff>
      <xdr:row>86</xdr:row>
      <xdr:rowOff>72390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3585190"/>
              <a:ext cx="355854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358140</xdr:colOff>
      <xdr:row>110</xdr:row>
      <xdr:rowOff>121920</xdr:rowOff>
    </xdr:from>
    <xdr:to>
      <xdr:col>6</xdr:col>
      <xdr:colOff>1950720</xdr:colOff>
      <xdr:row>126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371059</xdr:colOff>
      <xdr:row>95</xdr:row>
      <xdr:rowOff>99392</xdr:rowOff>
    </xdr:from>
    <xdr:to>
      <xdr:col>20</xdr:col>
      <xdr:colOff>311425</xdr:colOff>
      <xdr:row>106</xdr:row>
      <xdr:rowOff>43069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mu.sharepoint.com/teams/Aparna/Shared%20Documents/General/Data%20Compiled.xlsx" TargetMode="External"/><Relationship Id="rId1" Type="http://schemas.openxmlformats.org/officeDocument/2006/relationships/externalLinkPath" Target="Data%20Compiled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150df92de622e105/Desktop/Class%20Notes/Excel/Expansion%20Analysis.xlsx" TargetMode="External"/><Relationship Id="rId1" Type="http://schemas.openxmlformats.org/officeDocument/2006/relationships/externalLinkPath" Target="/150df92de622e105/Desktop/Class%20Notes/Excel/Expansion%20Analysi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ufJwjOAgEu3uC-Az0LRwVbfkuoWUT9Lh0v1u2FB8V7a4isUQAbtTLlenDRb5YKv" itemId="01RC6M3VLZ4MR6753LUVAL6XLXEIJ2D2KG">
      <xxl21:absoluteUrl r:id="rId2"/>
    </xxl21:alternateUrls>
    <sheetNames>
      <sheetName val="Cover Page"/>
      <sheetName val="#2 Analysis - Better scheduling"/>
      <sheetName val="#3 Analysis - Set up a new bran"/>
      <sheetName val="0 Enrolment by P-Tricks Beginn."/>
      <sheetName val="List of Pole Retailers"/>
      <sheetName val="Simulate Survey data at new loc"/>
      <sheetName val="List of competitors and locatio"/>
      <sheetName val="Competitor Px &amp; Enrolment"/>
      <sheetName val="Instructors"/>
      <sheetName val="Student Demographics"/>
      <sheetName val="Enrolment by Class Type"/>
      <sheetName val="Enrolment by Px - Choreo"/>
      <sheetName val="Enrolment by Px - Tricks"/>
      <sheetName val="Enrolment by Px - Conditioning"/>
    </sheetNames>
    <sheetDataSet>
      <sheetData sheetId="0"/>
      <sheetData sheetId="1"/>
      <sheetData sheetId="2"/>
      <sheetData sheetId="3"/>
      <sheetData sheetId="4">
        <row r="2">
          <cell r="D2">
            <v>2003</v>
          </cell>
          <cell r="F2">
            <v>1</v>
          </cell>
        </row>
        <row r="3">
          <cell r="D3">
            <v>2012</v>
          </cell>
          <cell r="F3">
            <v>2</v>
          </cell>
        </row>
        <row r="4">
          <cell r="D4">
            <v>2014</v>
          </cell>
          <cell r="F4">
            <v>3</v>
          </cell>
        </row>
        <row r="5">
          <cell r="D5">
            <v>2015</v>
          </cell>
          <cell r="F5">
            <v>5</v>
          </cell>
        </row>
        <row r="6">
          <cell r="D6">
            <v>2018</v>
          </cell>
          <cell r="F6">
            <v>9</v>
          </cell>
        </row>
        <row r="7">
          <cell r="D7">
            <v>2019</v>
          </cell>
          <cell r="F7">
            <v>10</v>
          </cell>
        </row>
        <row r="8">
          <cell r="D8">
            <v>2020</v>
          </cell>
          <cell r="F8">
            <v>13</v>
          </cell>
        </row>
        <row r="9">
          <cell r="D9">
            <v>2021</v>
          </cell>
          <cell r="F9">
            <v>15</v>
          </cell>
        </row>
        <row r="10">
          <cell r="D10">
            <v>2022</v>
          </cell>
          <cell r="F10">
            <v>17</v>
          </cell>
        </row>
      </sheetData>
      <sheetData sheetId="5"/>
      <sheetData sheetId="6"/>
      <sheetData sheetId="7"/>
      <sheetData sheetId="8"/>
      <sheetData sheetId="9">
        <row r="3">
          <cell r="A3" t="str">
            <v>Total Male Students</v>
          </cell>
          <cell r="C3">
            <v>6.9984447900466568E-2</v>
          </cell>
        </row>
        <row r="4">
          <cell r="A4" t="str">
            <v>Total Female Students</v>
          </cell>
          <cell r="C4">
            <v>0.92923794712286156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#3 Analysis - Set up a new bran"/>
    </sheetNames>
    <sheetDataSet>
      <sheetData sheetId="0">
        <row r="70">
          <cell r="D70" t="str">
            <v>Year 1</v>
          </cell>
          <cell r="E70" t="str">
            <v>Year 2</v>
          </cell>
          <cell r="F70" t="str">
            <v>Year 3</v>
          </cell>
          <cell r="G70" t="str">
            <v>Year 4</v>
          </cell>
        </row>
        <row r="71">
          <cell r="C71" t="str">
            <v>Revenue</v>
          </cell>
          <cell r="D71">
            <v>325920</v>
          </cell>
          <cell r="E71">
            <v>348734.39999999997</v>
          </cell>
          <cell r="F71">
            <v>373145.80800000002</v>
          </cell>
          <cell r="G71">
            <v>399266.01456000004</v>
          </cell>
        </row>
        <row r="72">
          <cell r="C72" t="str">
            <v>Profit/Loss</v>
          </cell>
          <cell r="D72">
            <v>20020.04800000001</v>
          </cell>
          <cell r="E72">
            <v>95190.447999999975</v>
          </cell>
          <cell r="F72">
            <v>111608.53599999999</v>
          </cell>
          <cell r="G72">
            <v>129369.62296000007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parna Sudarshan PARAB" id="{7614B2F2-D23D-43F3-8CB3-C30AB854FFF9}" userId="aparnap.2022@mitb.smu.edu.sg" providerId="PeoplePicker"/>
  <person displayName="Alicia LOH Nian En" id="{203DFC3C-AB29-46D7-99B0-33D581342A7D}" userId="alicia.loh.2022@mitb.smu.edu.sg" providerId="PeoplePicker"/>
  <person displayName="Aparna Sudarshan PARAB" id="{3AFBACC0-8BFB-45BE-9F11-B783D9DBB1E5}" userId="S::aparnap.2022@mitb.smu.edu.sg::22d2643c-2b8d-4089-b5fe-5339cc017ef0" providerId="AD"/>
  <person displayName="Charlene NG Wei Ling" id="{AAF02805-61CD-40A1-8224-D8A7F99A8BDB}" userId="S::charleneng.2022@mitb.smu.edu.sg::b610d9b3-1f3f-4305-bf72-d3bc8021f6c2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lene Ng" refreshedDate="45003.820655555559" createdVersion="8" refreshedVersion="8" minRefreshableVersion="3" recordCount="108" xr:uid="{3E265506-6205-4424-BE87-7D897D2338E4}">
  <cacheSource type="worksheet">
    <worksheetSource ref="A98:I206" sheet="Ref - Studio Capacity"/>
  </cacheSource>
  <cacheFields count="9">
    <cacheField name="Year" numFmtId="0">
      <sharedItems containsSemiMixedTypes="0" containsString="0" containsNumber="1" containsInteger="1" minValue="2022" maxValue="2022"/>
    </cacheField>
    <cacheField name="Class Type" numFmtId="0">
      <sharedItems count="8">
        <s v="Choreography - Beginner"/>
        <s v="Choreography - Intermediate"/>
        <s v="Choreography - Advanced"/>
        <s v="Pole Tricks - Beginner"/>
        <s v="Pole Tricks - Intermediate"/>
        <s v="Pole Tricks - Advanced"/>
        <s v="Conditioning for Pole"/>
        <s v="Choreography - Open"/>
      </sharedItems>
    </cacheField>
    <cacheField name="Class Start" numFmtId="15">
      <sharedItems containsSemiMixedTypes="0" containsNonDate="0" containsDate="1" containsString="0" minDate="2022-01-03T00:00:00" maxDate="2022-10-25T00:00:00" count="5">
        <d v="2022-01-03T00:00:00"/>
        <d v="2022-05-02T00:00:00"/>
        <d v="2022-07-04T00:00:00"/>
        <d v="2022-08-29T00:00:00"/>
        <d v="2022-10-24T00:00:00"/>
      </sharedItems>
    </cacheField>
    <cacheField name="Class Days" numFmtId="0">
      <sharedItems/>
    </cacheField>
    <cacheField name="Time Category" numFmtId="0">
      <sharedItems/>
    </cacheField>
    <cacheField name="Fee" numFmtId="0">
      <sharedItems containsSemiMixedTypes="0" containsString="0" containsNumber="1" containsInteger="1" minValue="180" maxValue="260"/>
    </cacheField>
    <cacheField name="Enrollment" numFmtId="0">
      <sharedItems containsSemiMixedTypes="0" containsString="0" containsNumber="1" containsInteger="1" minValue="2" maxValue="11" count="10">
        <n v="8"/>
        <n v="6"/>
        <n v="5"/>
        <n v="10"/>
        <n v="9"/>
        <n v="7"/>
        <n v="4"/>
        <n v="2"/>
        <n v="3"/>
        <n v="11"/>
      </sharedItems>
    </cacheField>
    <cacheField name="Class Max" numFmtId="0">
      <sharedItems containsSemiMixedTypes="0" containsString="0" containsNumber="1" containsInteger="1" minValue="10" maxValue="11"/>
    </cacheField>
    <cacheField name="Enrollment Rate" numFmtId="9">
      <sharedItems containsSemiMixedTypes="0" containsString="0" containsNumber="1" minValue="0.2" maxValue="1" count="9">
        <n v="0.8"/>
        <n v="0.6"/>
        <n v="0.5"/>
        <n v="1"/>
        <n v="0.9"/>
        <n v="0.7"/>
        <n v="0.4"/>
        <n v="0.2"/>
        <n v="0.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n v="2022"/>
    <x v="0"/>
    <x v="0"/>
    <s v="Saturday"/>
    <s v="Afternoon"/>
    <n v="260"/>
    <x v="0"/>
    <n v="10"/>
    <x v="0"/>
  </r>
  <r>
    <n v="2022"/>
    <x v="0"/>
    <x v="0"/>
    <s v="Monday"/>
    <s v="Evening"/>
    <n v="260"/>
    <x v="0"/>
    <n v="10"/>
    <x v="0"/>
  </r>
  <r>
    <n v="2022"/>
    <x v="0"/>
    <x v="0"/>
    <s v="Friday"/>
    <s v="Evening"/>
    <n v="260"/>
    <x v="0"/>
    <n v="10"/>
    <x v="0"/>
  </r>
  <r>
    <n v="2022"/>
    <x v="0"/>
    <x v="1"/>
    <s v="Monday"/>
    <s v="Evening"/>
    <n v="260"/>
    <x v="1"/>
    <n v="10"/>
    <x v="1"/>
  </r>
  <r>
    <n v="2022"/>
    <x v="0"/>
    <x v="1"/>
    <s v="Thursday"/>
    <s v="Evening"/>
    <n v="220"/>
    <x v="2"/>
    <n v="10"/>
    <x v="2"/>
  </r>
  <r>
    <n v="2022"/>
    <x v="0"/>
    <x v="1"/>
    <s v="Friday"/>
    <s v="Evening"/>
    <n v="260"/>
    <x v="2"/>
    <n v="10"/>
    <x v="2"/>
  </r>
  <r>
    <n v="2022"/>
    <x v="0"/>
    <x v="2"/>
    <s v="Friday"/>
    <s v="Evening"/>
    <n v="260"/>
    <x v="2"/>
    <n v="10"/>
    <x v="2"/>
  </r>
  <r>
    <n v="2022"/>
    <x v="0"/>
    <x v="3"/>
    <s v="Monday"/>
    <s v="Evening"/>
    <n v="260"/>
    <x v="3"/>
    <n v="10"/>
    <x v="3"/>
  </r>
  <r>
    <n v="2022"/>
    <x v="0"/>
    <x v="3"/>
    <s v="Monday"/>
    <s v="Evening"/>
    <n v="260"/>
    <x v="0"/>
    <n v="10"/>
    <x v="0"/>
  </r>
  <r>
    <n v="2022"/>
    <x v="0"/>
    <x v="3"/>
    <s v="Wednesday"/>
    <s v="Evening"/>
    <n v="260"/>
    <x v="4"/>
    <n v="10"/>
    <x v="4"/>
  </r>
  <r>
    <n v="2022"/>
    <x v="0"/>
    <x v="3"/>
    <s v="Thursday"/>
    <s v="Evening"/>
    <n v="260"/>
    <x v="3"/>
    <n v="10"/>
    <x v="3"/>
  </r>
  <r>
    <n v="2022"/>
    <x v="0"/>
    <x v="4"/>
    <s v="Monday"/>
    <s v="Evening"/>
    <n v="260"/>
    <x v="3"/>
    <n v="10"/>
    <x v="3"/>
  </r>
  <r>
    <n v="2022"/>
    <x v="0"/>
    <x v="4"/>
    <s v="Monday"/>
    <s v="Evening"/>
    <n v="260"/>
    <x v="2"/>
    <n v="10"/>
    <x v="2"/>
  </r>
  <r>
    <n v="2022"/>
    <x v="0"/>
    <x v="4"/>
    <s v="Wednesday"/>
    <s v="Evening"/>
    <n v="260"/>
    <x v="5"/>
    <n v="10"/>
    <x v="5"/>
  </r>
  <r>
    <n v="2022"/>
    <x v="0"/>
    <x v="4"/>
    <s v="Friday"/>
    <s v="Evening"/>
    <n v="260"/>
    <x v="6"/>
    <n v="10"/>
    <x v="6"/>
  </r>
  <r>
    <n v="2022"/>
    <x v="0"/>
    <x v="3"/>
    <s v="Sunday"/>
    <s v="Morning"/>
    <n v="260"/>
    <x v="2"/>
    <n v="10"/>
    <x v="2"/>
  </r>
  <r>
    <n v="2022"/>
    <x v="1"/>
    <x v="0"/>
    <s v="Tuesday"/>
    <s v="Evening"/>
    <n v="260"/>
    <x v="2"/>
    <n v="10"/>
    <x v="2"/>
  </r>
  <r>
    <n v="2022"/>
    <x v="1"/>
    <x v="0"/>
    <s v="Saturday"/>
    <s v="Afternoon"/>
    <n v="260"/>
    <x v="7"/>
    <n v="10"/>
    <x v="7"/>
  </r>
  <r>
    <n v="2022"/>
    <x v="1"/>
    <x v="2"/>
    <s v="Sunday"/>
    <s v="Afternoon"/>
    <n v="260"/>
    <x v="8"/>
    <n v="10"/>
    <x v="8"/>
  </r>
  <r>
    <n v="2022"/>
    <x v="2"/>
    <x v="0"/>
    <s v="Tuesday"/>
    <s v="Evening"/>
    <n v="260"/>
    <x v="2"/>
    <n v="10"/>
    <x v="2"/>
  </r>
  <r>
    <n v="2022"/>
    <x v="3"/>
    <x v="0"/>
    <s v="Saturday"/>
    <s v="Morning"/>
    <n v="260"/>
    <x v="7"/>
    <n v="10"/>
    <x v="7"/>
  </r>
  <r>
    <n v="2022"/>
    <x v="3"/>
    <x v="0"/>
    <s v="Saturday"/>
    <s v="Morning"/>
    <n v="260"/>
    <x v="5"/>
    <n v="10"/>
    <x v="5"/>
  </r>
  <r>
    <n v="2022"/>
    <x v="3"/>
    <x v="0"/>
    <s v="Sunday"/>
    <s v="Afternoon"/>
    <n v="260"/>
    <x v="8"/>
    <n v="10"/>
    <x v="8"/>
  </r>
  <r>
    <n v="2022"/>
    <x v="3"/>
    <x v="1"/>
    <s v="Tuesday"/>
    <s v="Evening"/>
    <n v="260"/>
    <x v="6"/>
    <n v="10"/>
    <x v="6"/>
  </r>
  <r>
    <n v="2022"/>
    <x v="3"/>
    <x v="1"/>
    <s v="Saturday"/>
    <s v="Morning"/>
    <n v="220"/>
    <x v="8"/>
    <n v="10"/>
    <x v="8"/>
  </r>
  <r>
    <n v="2022"/>
    <x v="3"/>
    <x v="2"/>
    <s v="Monday"/>
    <s v="Evening"/>
    <n v="220"/>
    <x v="6"/>
    <n v="10"/>
    <x v="6"/>
  </r>
  <r>
    <n v="2022"/>
    <x v="3"/>
    <x v="2"/>
    <s v="Saturday"/>
    <s v="Morning"/>
    <n v="260"/>
    <x v="6"/>
    <n v="10"/>
    <x v="6"/>
  </r>
  <r>
    <n v="2022"/>
    <x v="3"/>
    <x v="3"/>
    <s v="Monday"/>
    <s v="Evening"/>
    <n v="260"/>
    <x v="0"/>
    <n v="10"/>
    <x v="0"/>
  </r>
  <r>
    <n v="2022"/>
    <x v="3"/>
    <x v="3"/>
    <s v="Thursday"/>
    <s v="Evening"/>
    <n v="260"/>
    <x v="2"/>
    <n v="10"/>
    <x v="2"/>
  </r>
  <r>
    <n v="2022"/>
    <x v="3"/>
    <x v="3"/>
    <s v="Thursday"/>
    <s v="Evening"/>
    <n v="220"/>
    <x v="1"/>
    <n v="10"/>
    <x v="1"/>
  </r>
  <r>
    <n v="2022"/>
    <x v="3"/>
    <x v="3"/>
    <s v="Saturday"/>
    <s v="Morning"/>
    <n v="260"/>
    <x v="6"/>
    <n v="10"/>
    <x v="6"/>
  </r>
  <r>
    <n v="2022"/>
    <x v="3"/>
    <x v="4"/>
    <s v="Thursday"/>
    <s v="Evening"/>
    <n v="260"/>
    <x v="3"/>
    <n v="10"/>
    <x v="3"/>
  </r>
  <r>
    <n v="2022"/>
    <x v="3"/>
    <x v="4"/>
    <s v="Saturday"/>
    <s v="Afternoon"/>
    <n v="260"/>
    <x v="9"/>
    <n v="11"/>
    <x v="3"/>
  </r>
  <r>
    <n v="2022"/>
    <x v="3"/>
    <x v="4"/>
    <s v="Sunday"/>
    <s v="Afternoon"/>
    <n v="220"/>
    <x v="2"/>
    <n v="10"/>
    <x v="2"/>
  </r>
  <r>
    <n v="2022"/>
    <x v="4"/>
    <x v="0"/>
    <s v="Monday"/>
    <s v="Evening"/>
    <n v="260"/>
    <x v="1"/>
    <n v="10"/>
    <x v="1"/>
  </r>
  <r>
    <n v="2022"/>
    <x v="4"/>
    <x v="0"/>
    <s v="Tuesday"/>
    <s v="Evening"/>
    <n v="260"/>
    <x v="8"/>
    <n v="10"/>
    <x v="8"/>
  </r>
  <r>
    <n v="2022"/>
    <x v="4"/>
    <x v="0"/>
    <s v="Wednesday"/>
    <s v="Evening"/>
    <n v="260"/>
    <x v="4"/>
    <n v="10"/>
    <x v="4"/>
  </r>
  <r>
    <n v="2022"/>
    <x v="4"/>
    <x v="0"/>
    <s v="Sunday"/>
    <s v="Morning"/>
    <n v="260"/>
    <x v="6"/>
    <n v="10"/>
    <x v="6"/>
  </r>
  <r>
    <n v="2022"/>
    <x v="4"/>
    <x v="0"/>
    <s v="Sunday"/>
    <s v="Afternoon"/>
    <n v="260"/>
    <x v="8"/>
    <n v="10"/>
    <x v="8"/>
  </r>
  <r>
    <n v="2022"/>
    <x v="4"/>
    <x v="1"/>
    <s v="Tuesday"/>
    <s v="Evening"/>
    <n v="260"/>
    <x v="6"/>
    <n v="10"/>
    <x v="6"/>
  </r>
  <r>
    <n v="2022"/>
    <x v="4"/>
    <x v="1"/>
    <s v="Saturday"/>
    <s v="Morning"/>
    <n v="260"/>
    <x v="6"/>
    <n v="10"/>
    <x v="6"/>
  </r>
  <r>
    <n v="2022"/>
    <x v="4"/>
    <x v="1"/>
    <s v="Saturday"/>
    <s v="Afternoon"/>
    <n v="260"/>
    <x v="4"/>
    <n v="10"/>
    <x v="4"/>
  </r>
  <r>
    <n v="2022"/>
    <x v="4"/>
    <x v="2"/>
    <s v="Tuesday"/>
    <s v="Evening"/>
    <n v="260"/>
    <x v="2"/>
    <n v="10"/>
    <x v="2"/>
  </r>
  <r>
    <n v="2022"/>
    <x v="4"/>
    <x v="2"/>
    <s v="Tuesday"/>
    <s v="Evening"/>
    <n v="260"/>
    <x v="2"/>
    <n v="10"/>
    <x v="2"/>
  </r>
  <r>
    <n v="2022"/>
    <x v="4"/>
    <x v="2"/>
    <s v="Saturday"/>
    <s v="Morning"/>
    <n v="260"/>
    <x v="0"/>
    <n v="10"/>
    <x v="0"/>
  </r>
  <r>
    <n v="2022"/>
    <x v="4"/>
    <x v="2"/>
    <s v="Saturday"/>
    <s v="Afternoon"/>
    <n v="260"/>
    <x v="6"/>
    <n v="10"/>
    <x v="6"/>
  </r>
  <r>
    <n v="2022"/>
    <x v="4"/>
    <x v="3"/>
    <s v="Tuesday"/>
    <s v="Evening"/>
    <n v="260"/>
    <x v="3"/>
    <n v="10"/>
    <x v="3"/>
  </r>
  <r>
    <n v="2022"/>
    <x v="4"/>
    <x v="3"/>
    <s v="Tuesday"/>
    <s v="Evening"/>
    <n v="260"/>
    <x v="6"/>
    <n v="10"/>
    <x v="6"/>
  </r>
  <r>
    <n v="2022"/>
    <x v="4"/>
    <x v="3"/>
    <s v="Sunday"/>
    <s v="Afternoon"/>
    <n v="260"/>
    <x v="8"/>
    <n v="10"/>
    <x v="8"/>
  </r>
  <r>
    <n v="2022"/>
    <x v="4"/>
    <x v="4"/>
    <s v="Tuesday"/>
    <s v="Evening"/>
    <n v="260"/>
    <x v="9"/>
    <n v="11"/>
    <x v="3"/>
  </r>
  <r>
    <n v="2022"/>
    <x v="4"/>
    <x v="4"/>
    <s v="Tuesday"/>
    <s v="Evening"/>
    <n v="260"/>
    <x v="5"/>
    <n v="10"/>
    <x v="5"/>
  </r>
  <r>
    <n v="2022"/>
    <x v="4"/>
    <x v="4"/>
    <s v="Thursday"/>
    <s v="Evening"/>
    <n v="260"/>
    <x v="7"/>
    <n v="10"/>
    <x v="7"/>
  </r>
  <r>
    <n v="2022"/>
    <x v="4"/>
    <x v="4"/>
    <s v="Saturday"/>
    <s v="Morning"/>
    <n v="260"/>
    <x v="2"/>
    <n v="10"/>
    <x v="2"/>
  </r>
  <r>
    <n v="2022"/>
    <x v="5"/>
    <x v="0"/>
    <s v="Monday"/>
    <s v="Evening"/>
    <n v="260"/>
    <x v="6"/>
    <n v="10"/>
    <x v="6"/>
  </r>
  <r>
    <n v="2022"/>
    <x v="5"/>
    <x v="0"/>
    <s v="Wednesday"/>
    <s v="Evening"/>
    <n v="260"/>
    <x v="4"/>
    <n v="10"/>
    <x v="4"/>
  </r>
  <r>
    <n v="2022"/>
    <x v="5"/>
    <x v="1"/>
    <s v="Wednesday"/>
    <s v="Evening"/>
    <n v="260"/>
    <x v="6"/>
    <n v="10"/>
    <x v="6"/>
  </r>
  <r>
    <n v="2022"/>
    <x v="5"/>
    <x v="1"/>
    <s v="Wednesday"/>
    <s v="Evening"/>
    <n v="260"/>
    <x v="3"/>
    <n v="10"/>
    <x v="3"/>
  </r>
  <r>
    <n v="2022"/>
    <x v="5"/>
    <x v="1"/>
    <s v="Sunday"/>
    <s v="Morning"/>
    <n v="260"/>
    <x v="2"/>
    <n v="10"/>
    <x v="2"/>
  </r>
  <r>
    <n v="2022"/>
    <x v="5"/>
    <x v="1"/>
    <s v="Sunday"/>
    <s v="Afternoon"/>
    <n v="260"/>
    <x v="8"/>
    <n v="10"/>
    <x v="8"/>
  </r>
  <r>
    <n v="2022"/>
    <x v="5"/>
    <x v="2"/>
    <s v="Wednesday"/>
    <s v="Evening"/>
    <n v="260"/>
    <x v="1"/>
    <n v="10"/>
    <x v="1"/>
  </r>
  <r>
    <n v="2022"/>
    <x v="5"/>
    <x v="2"/>
    <s v="Wednesday"/>
    <s v="Evening"/>
    <n v="260"/>
    <x v="2"/>
    <n v="10"/>
    <x v="2"/>
  </r>
  <r>
    <n v="2022"/>
    <x v="5"/>
    <x v="3"/>
    <s v="Wednesday"/>
    <s v="Evening"/>
    <n v="260"/>
    <x v="6"/>
    <n v="10"/>
    <x v="6"/>
  </r>
  <r>
    <n v="2022"/>
    <x v="5"/>
    <x v="3"/>
    <s v="Wednesday"/>
    <s v="Evening"/>
    <n v="260"/>
    <x v="1"/>
    <n v="10"/>
    <x v="1"/>
  </r>
  <r>
    <n v="2022"/>
    <x v="5"/>
    <x v="3"/>
    <s v="Saturday"/>
    <s v="Morning"/>
    <n v="260"/>
    <x v="1"/>
    <n v="10"/>
    <x v="1"/>
  </r>
  <r>
    <n v="2022"/>
    <x v="5"/>
    <x v="4"/>
    <s v="Wednesday"/>
    <s v="Evening"/>
    <n v="260"/>
    <x v="1"/>
    <n v="10"/>
    <x v="1"/>
  </r>
  <r>
    <n v="2022"/>
    <x v="5"/>
    <x v="4"/>
    <s v="Wednesday"/>
    <s v="Evening"/>
    <n v="260"/>
    <x v="2"/>
    <n v="10"/>
    <x v="2"/>
  </r>
  <r>
    <n v="2022"/>
    <x v="5"/>
    <x v="4"/>
    <s v="Saturday"/>
    <s v="Morning"/>
    <n v="260"/>
    <x v="6"/>
    <n v="10"/>
    <x v="6"/>
  </r>
  <r>
    <n v="2022"/>
    <x v="6"/>
    <x v="0"/>
    <s v="Sunday"/>
    <s v="Afternoon"/>
    <n v="180"/>
    <x v="2"/>
    <n v="10"/>
    <x v="2"/>
  </r>
  <r>
    <n v="2022"/>
    <x v="6"/>
    <x v="1"/>
    <s v="Sunday"/>
    <s v="Afternoon"/>
    <n v="180"/>
    <x v="2"/>
    <n v="10"/>
    <x v="2"/>
  </r>
  <r>
    <n v="2022"/>
    <x v="6"/>
    <x v="2"/>
    <s v="Tuesday"/>
    <s v="Evening"/>
    <n v="180"/>
    <x v="6"/>
    <n v="10"/>
    <x v="6"/>
  </r>
  <r>
    <n v="2022"/>
    <x v="6"/>
    <x v="2"/>
    <s v="Saturday"/>
    <s v="Afternoon"/>
    <n v="180"/>
    <x v="1"/>
    <n v="10"/>
    <x v="1"/>
  </r>
  <r>
    <n v="2022"/>
    <x v="6"/>
    <x v="2"/>
    <s v="Sunday"/>
    <s v="Afternoon"/>
    <n v="180"/>
    <x v="3"/>
    <n v="10"/>
    <x v="3"/>
  </r>
  <r>
    <n v="2022"/>
    <x v="6"/>
    <x v="3"/>
    <s v="Tuesday"/>
    <s v="Evening"/>
    <n v="180"/>
    <x v="0"/>
    <n v="10"/>
    <x v="0"/>
  </r>
  <r>
    <n v="2022"/>
    <x v="6"/>
    <x v="3"/>
    <s v="Saturday"/>
    <s v="Afternoon"/>
    <n v="180"/>
    <x v="0"/>
    <n v="10"/>
    <x v="0"/>
  </r>
  <r>
    <n v="2022"/>
    <x v="6"/>
    <x v="3"/>
    <s v="Sunday"/>
    <s v="Afternoon"/>
    <n v="180"/>
    <x v="1"/>
    <n v="10"/>
    <x v="1"/>
  </r>
  <r>
    <n v="2022"/>
    <x v="6"/>
    <x v="4"/>
    <s v="Tuesday"/>
    <s v="Evening"/>
    <n v="180"/>
    <x v="2"/>
    <n v="10"/>
    <x v="2"/>
  </r>
  <r>
    <n v="2022"/>
    <x v="6"/>
    <x v="4"/>
    <s v="Saturday"/>
    <s v="Afternoon"/>
    <n v="180"/>
    <x v="7"/>
    <n v="10"/>
    <x v="7"/>
  </r>
  <r>
    <n v="2022"/>
    <x v="6"/>
    <x v="4"/>
    <s v="Sunday"/>
    <s v="Afternoon"/>
    <n v="260"/>
    <x v="4"/>
    <n v="10"/>
    <x v="4"/>
  </r>
  <r>
    <n v="2022"/>
    <x v="7"/>
    <x v="0"/>
    <s v="Tuesday"/>
    <s v="Evening"/>
    <n v="260"/>
    <x v="6"/>
    <n v="10"/>
    <x v="6"/>
  </r>
  <r>
    <n v="2022"/>
    <x v="7"/>
    <x v="0"/>
    <s v="Wednesday"/>
    <s v="Evening"/>
    <n v="260"/>
    <x v="3"/>
    <n v="10"/>
    <x v="3"/>
  </r>
  <r>
    <n v="2022"/>
    <x v="7"/>
    <x v="0"/>
    <s v="Thursday"/>
    <s v="Evening"/>
    <n v="260"/>
    <x v="5"/>
    <n v="10"/>
    <x v="5"/>
  </r>
  <r>
    <n v="2022"/>
    <x v="7"/>
    <x v="0"/>
    <s v="Thursday"/>
    <s v="Evening"/>
    <n v="260"/>
    <x v="6"/>
    <n v="10"/>
    <x v="6"/>
  </r>
  <r>
    <n v="2022"/>
    <x v="7"/>
    <x v="0"/>
    <s v="Friday"/>
    <s v="Evening"/>
    <n v="260"/>
    <x v="0"/>
    <n v="10"/>
    <x v="0"/>
  </r>
  <r>
    <n v="2022"/>
    <x v="7"/>
    <x v="0"/>
    <s v="Friday"/>
    <s v="Evening"/>
    <n v="260"/>
    <x v="3"/>
    <n v="10"/>
    <x v="3"/>
  </r>
  <r>
    <n v="2022"/>
    <x v="7"/>
    <x v="0"/>
    <s v="Saturday"/>
    <s v="Afternoon"/>
    <n v="260"/>
    <x v="8"/>
    <n v="10"/>
    <x v="8"/>
  </r>
  <r>
    <n v="2022"/>
    <x v="7"/>
    <x v="0"/>
    <s v="Saturday"/>
    <s v="Afternoon"/>
    <n v="260"/>
    <x v="2"/>
    <n v="10"/>
    <x v="2"/>
  </r>
  <r>
    <n v="2022"/>
    <x v="7"/>
    <x v="0"/>
    <s v="Sunday"/>
    <s v="Afternoon"/>
    <n v="260"/>
    <x v="0"/>
    <n v="10"/>
    <x v="0"/>
  </r>
  <r>
    <n v="2022"/>
    <x v="7"/>
    <x v="1"/>
    <s v="Monday"/>
    <s v="Evening"/>
    <n v="260"/>
    <x v="6"/>
    <n v="10"/>
    <x v="6"/>
  </r>
  <r>
    <n v="2022"/>
    <x v="7"/>
    <x v="1"/>
    <s v="Wednesday"/>
    <s v="Evening"/>
    <n v="260"/>
    <x v="1"/>
    <n v="10"/>
    <x v="1"/>
  </r>
  <r>
    <n v="2022"/>
    <x v="7"/>
    <x v="1"/>
    <s v="Thursday"/>
    <s v="Evening"/>
    <n v="260"/>
    <x v="0"/>
    <n v="10"/>
    <x v="0"/>
  </r>
  <r>
    <n v="2022"/>
    <x v="7"/>
    <x v="1"/>
    <s v="Friday"/>
    <s v="Evening"/>
    <n v="260"/>
    <x v="8"/>
    <n v="10"/>
    <x v="8"/>
  </r>
  <r>
    <n v="2022"/>
    <x v="7"/>
    <x v="1"/>
    <s v="Saturday"/>
    <s v="Afternoon"/>
    <n v="230"/>
    <x v="6"/>
    <n v="10"/>
    <x v="6"/>
  </r>
  <r>
    <n v="2022"/>
    <x v="7"/>
    <x v="1"/>
    <s v="Saturday"/>
    <s v="Afternoon"/>
    <n v="260"/>
    <x v="5"/>
    <n v="10"/>
    <x v="5"/>
  </r>
  <r>
    <n v="2022"/>
    <x v="7"/>
    <x v="2"/>
    <s v="Monday"/>
    <s v="Evening"/>
    <n v="260"/>
    <x v="6"/>
    <n v="10"/>
    <x v="6"/>
  </r>
  <r>
    <n v="2022"/>
    <x v="7"/>
    <x v="2"/>
    <s v="Thursday"/>
    <s v="Evening"/>
    <n v="220"/>
    <x v="1"/>
    <n v="10"/>
    <x v="1"/>
  </r>
  <r>
    <n v="2022"/>
    <x v="7"/>
    <x v="2"/>
    <s v="Thursday"/>
    <s v="Evening"/>
    <n v="260"/>
    <x v="0"/>
    <n v="10"/>
    <x v="0"/>
  </r>
  <r>
    <n v="2022"/>
    <x v="7"/>
    <x v="2"/>
    <s v="Friday"/>
    <s v="Evening"/>
    <n v="260"/>
    <x v="2"/>
    <n v="10"/>
    <x v="2"/>
  </r>
  <r>
    <n v="2022"/>
    <x v="7"/>
    <x v="2"/>
    <s v="Friday"/>
    <s v="Evening"/>
    <n v="260"/>
    <x v="1"/>
    <n v="10"/>
    <x v="1"/>
  </r>
  <r>
    <n v="2022"/>
    <x v="7"/>
    <x v="2"/>
    <s v="Sunday"/>
    <s v="Afternoon"/>
    <n v="220"/>
    <x v="0"/>
    <n v="10"/>
    <x v="0"/>
  </r>
  <r>
    <n v="2022"/>
    <x v="7"/>
    <x v="3"/>
    <s v="Friday"/>
    <s v="Evening"/>
    <n v="260"/>
    <x v="2"/>
    <n v="10"/>
    <x v="2"/>
  </r>
  <r>
    <n v="2022"/>
    <x v="7"/>
    <x v="3"/>
    <s v="Friday"/>
    <s v="Evening"/>
    <n v="260"/>
    <x v="3"/>
    <n v="10"/>
    <x v="3"/>
  </r>
  <r>
    <n v="2022"/>
    <x v="7"/>
    <x v="3"/>
    <s v="Friday"/>
    <s v="Evening"/>
    <n v="260"/>
    <x v="0"/>
    <n v="10"/>
    <x v="0"/>
  </r>
  <r>
    <n v="2022"/>
    <x v="7"/>
    <x v="3"/>
    <s v="Saturday"/>
    <s v="Afternoon"/>
    <n v="260"/>
    <x v="5"/>
    <n v="10"/>
    <x v="5"/>
  </r>
  <r>
    <n v="2022"/>
    <x v="7"/>
    <x v="3"/>
    <s v="Sunday"/>
    <s v="Afternoon"/>
    <n v="260"/>
    <x v="3"/>
    <n v="10"/>
    <x v="3"/>
  </r>
  <r>
    <n v="2022"/>
    <x v="7"/>
    <x v="4"/>
    <s v="Friday"/>
    <s v="Evening"/>
    <n v="260"/>
    <x v="2"/>
    <n v="10"/>
    <x v="2"/>
  </r>
  <r>
    <n v="2022"/>
    <x v="7"/>
    <x v="4"/>
    <s v="Friday"/>
    <s v="Evening"/>
    <n v="260"/>
    <x v="0"/>
    <n v="10"/>
    <x v="0"/>
  </r>
  <r>
    <n v="2022"/>
    <x v="7"/>
    <x v="4"/>
    <s v="Saturday"/>
    <s v="Afternoon"/>
    <n v="260"/>
    <x v="8"/>
    <n v="10"/>
    <x v="8"/>
  </r>
  <r>
    <n v="2022"/>
    <x v="7"/>
    <x v="4"/>
    <s v="Saturday"/>
    <s v="Afternoon"/>
    <n v="260"/>
    <x v="2"/>
    <n v="1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F67488-EF13-4644-AACB-8BE8916E342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137:L144" firstHeaderRow="0" firstDataRow="1" firstDataCol="1" rowPageCount="1" colPageCount="1"/>
  <pivotFields count="9">
    <pivotField showAll="0"/>
    <pivotField axis="axisRow" dataField="1" showAll="0">
      <items count="9">
        <item x="2"/>
        <item x="0"/>
        <item x="1"/>
        <item x="7"/>
        <item x="6"/>
        <item x="5"/>
        <item x="3"/>
        <item x="4"/>
        <item t="default"/>
      </items>
    </pivotField>
    <pivotField axis="axisPage" numFmtId="15" showAll="0">
      <items count="6">
        <item h="1" x="0"/>
        <item h="1" x="1"/>
        <item h="1" x="2"/>
        <item x="3"/>
        <item h="1" x="4"/>
        <item t="default"/>
      </items>
    </pivotField>
    <pivotField showAll="0"/>
    <pivotField showAll="0"/>
    <pivotField showAll="0"/>
    <pivotField showAll="0">
      <items count="11">
        <item x="7"/>
        <item x="8"/>
        <item x="6"/>
        <item x="2"/>
        <item x="1"/>
        <item x="5"/>
        <item x="0"/>
        <item x="4"/>
        <item x="3"/>
        <item x="9"/>
        <item t="default"/>
      </items>
    </pivotField>
    <pivotField showAll="0"/>
    <pivotField dataField="1" numFmtId="9" showAll="0">
      <items count="10">
        <item x="7"/>
        <item x="8"/>
        <item x="6"/>
        <item x="2"/>
        <item x="1"/>
        <item x="5"/>
        <item x="0"/>
        <item x="4"/>
        <item x="3"/>
        <item t="default"/>
      </items>
    </pivotField>
  </pivotFields>
  <rowFields count="1">
    <field x="1"/>
  </rowFields>
  <rowItems count="7">
    <i>
      <x v="1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2" item="3" hier="-1"/>
  </pageFields>
  <dataFields count="2">
    <dataField name="Count of Class Type" fld="1" subtotal="count" baseField="0" baseItem="0"/>
    <dataField name="Average of Enrollment Rate" fld="8" subtotal="average" baseField="1" baseItem="0"/>
  </dataFields>
  <formats count="1">
    <format dxfId="0">
      <pivotArea collapsedLevelsAreSubtotals="1" fieldPosition="0">
        <references count="2">
          <reference field="4294967294" count="1" selected="0">
            <x v="1"/>
          </reference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7" dT="2023-03-18T12:34:28.46" personId="{AAF02805-61CD-40A1-8224-D8A7F99A8BDB}" id="{06F42EC7-7F95-4362-8DC3-8329637E0696}">
    <text>@Aparna Sudarshan PARAB  can help to compute this and profit?  from the marketing analysis?</text>
    <mentions>
      <mention mentionpersonId="{7614B2F2-D23D-43F3-8CB3-C30AB854FFF9}" mentionId="{C9FC52EC-139D-4DB3-93F0-433240FD1AAD}" startIndex="0" length="23"/>
    </mentions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3-08T05:45:48.09" personId="{AAF02805-61CD-40A1-8224-D8A7F99A8BDB}" id="{7C1FD9BE-C2FF-4292-97A4-9267BE0AB714}">
    <text>@Alicia LOH Nian En  is there a cost breakdown that we can play around with?</text>
    <mentions>
      <mention mentionpersonId="{203DFC3C-AB29-46D7-99B0-33D581342A7D}" mentionId="{A85DADC7-65B6-4A2E-B969-E1C54F0F1F40}" startIndex="0" length="19"/>
    </mentions>
  </threadedComment>
  <threadedComment ref="D8" dT="2023-03-16T03:05:43.07" personId="{3AFBACC0-8BFB-45BE-9F11-B783D9DBB1E5}" id="{3F8E7BD9-0DB7-4EAA-91EF-586EFD44B518}" parentId="{7C1FD9BE-C2FF-4292-97A4-9267BE0AB714}">
    <text>Rent 5500
Admin 200
Others 69</text>
  </threadedComment>
  <threadedComment ref="D8" dT="2023-03-16T03:29:47.05" personId="{3AFBACC0-8BFB-45BE-9F11-B783D9DBB1E5}" id="{DB0FD48C-AC5B-4C21-B279-4D72224C720C}" parentId="{7C1FD9BE-C2FF-4292-97A4-9267BE0AB714}">
    <text>Instructor costs &gt; ($35/h if 2-9 headcount, $50/h if &gt;=10 headcount)
So this was calculated based on the avg headcount in year 2022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72AB4-567F-409F-A14A-D613651704C6}">
  <dimension ref="A1:M53"/>
  <sheetViews>
    <sheetView zoomScale="81" zoomScaleNormal="81" workbookViewId="0">
      <selection sqref="A1:L1"/>
    </sheetView>
  </sheetViews>
  <sheetFormatPr defaultRowHeight="14.5" x14ac:dyDescent="0.35"/>
  <cols>
    <col min="1" max="1" width="22.54296875" customWidth="1"/>
    <col min="2" max="2" width="19.453125" customWidth="1"/>
    <col min="3" max="4" width="21.453125" customWidth="1"/>
    <col min="5" max="5" width="16.54296875" customWidth="1"/>
    <col min="7" max="7" width="23.7265625" customWidth="1"/>
    <col min="8" max="8" width="26.453125" customWidth="1"/>
    <col min="9" max="9" width="28.7265625" customWidth="1"/>
    <col min="10" max="10" width="22.7265625" customWidth="1"/>
    <col min="11" max="11" width="26.7265625" customWidth="1"/>
    <col min="12" max="12" width="21.54296875" customWidth="1"/>
    <col min="13" max="13" width="13.54296875" customWidth="1"/>
  </cols>
  <sheetData>
    <row r="1" spans="1:13" ht="66.650000000000006" customHeight="1" x14ac:dyDescent="0.6">
      <c r="A1" s="635" t="s">
        <v>0</v>
      </c>
      <c r="B1" s="636"/>
      <c r="C1" s="636"/>
      <c r="D1" s="636"/>
      <c r="E1" s="636"/>
      <c r="F1" s="636"/>
      <c r="G1" s="636"/>
      <c r="H1" s="636"/>
      <c r="I1" s="636"/>
      <c r="J1" s="636"/>
      <c r="K1" s="636"/>
      <c r="L1" s="636"/>
    </row>
    <row r="2" spans="1:13" ht="21" x14ac:dyDescent="0.5">
      <c r="A2" s="551" t="s">
        <v>1</v>
      </c>
      <c r="B2" s="552"/>
      <c r="C2" s="552"/>
      <c r="D2" s="552"/>
      <c r="E2" s="552"/>
      <c r="F2" s="552"/>
      <c r="G2" s="551" t="s">
        <v>2</v>
      </c>
      <c r="H2" s="552"/>
      <c r="I2" s="552"/>
      <c r="J2" s="552"/>
      <c r="K2" s="552"/>
      <c r="L2" s="552"/>
    </row>
    <row r="3" spans="1:13" ht="12" customHeight="1" x14ac:dyDescent="0.5">
      <c r="A3" s="551"/>
      <c r="B3" s="552"/>
      <c r="C3" s="552"/>
      <c r="D3" s="552"/>
      <c r="E3" s="552"/>
      <c r="F3" s="552"/>
      <c r="G3" s="551"/>
      <c r="H3" s="552"/>
      <c r="I3" s="552"/>
      <c r="J3" s="552"/>
      <c r="K3" s="552"/>
      <c r="L3" s="552"/>
    </row>
    <row r="4" spans="1:13" ht="14.15" customHeight="1" x14ac:dyDescent="0.5">
      <c r="A4" s="551"/>
      <c r="B4" s="552"/>
      <c r="C4" s="552"/>
      <c r="D4" s="634" t="s">
        <v>3</v>
      </c>
      <c r="E4" s="634"/>
      <c r="F4" s="552"/>
      <c r="G4" s="553" t="s">
        <v>4</v>
      </c>
      <c r="H4" s="552"/>
      <c r="I4" s="552"/>
      <c r="J4" s="552"/>
      <c r="K4" s="552"/>
      <c r="L4" s="552"/>
    </row>
    <row r="5" spans="1:13" x14ac:dyDescent="0.35">
      <c r="A5" s="552"/>
      <c r="B5" s="552"/>
      <c r="C5" s="552"/>
      <c r="D5" s="554" t="s">
        <v>5</v>
      </c>
      <c r="E5" s="554" t="s">
        <v>6</v>
      </c>
      <c r="F5" s="552"/>
      <c r="G5" s="555" t="s">
        <v>7</v>
      </c>
      <c r="H5" s="555">
        <v>1200</v>
      </c>
      <c r="I5" s="552" t="s">
        <v>8</v>
      </c>
      <c r="J5" s="552"/>
      <c r="K5" s="552"/>
      <c r="L5" s="552"/>
    </row>
    <row r="6" spans="1:13" x14ac:dyDescent="0.35">
      <c r="A6" s="552"/>
      <c r="B6" s="552"/>
      <c r="C6" s="552"/>
      <c r="D6" s="556" t="s">
        <v>9</v>
      </c>
      <c r="E6" s="557">
        <v>2005</v>
      </c>
      <c r="F6" s="552"/>
      <c r="G6" s="555" t="s">
        <v>10</v>
      </c>
      <c r="H6" s="558" t="s">
        <v>11</v>
      </c>
      <c r="I6" s="552"/>
      <c r="J6" s="552"/>
      <c r="K6" s="552"/>
      <c r="L6" s="552"/>
    </row>
    <row r="7" spans="1:13" ht="29" x14ac:dyDescent="0.35">
      <c r="A7" s="552"/>
      <c r="B7" s="552"/>
      <c r="C7" s="552"/>
      <c r="D7" s="556" t="s">
        <v>12</v>
      </c>
      <c r="E7" s="557">
        <v>2006</v>
      </c>
      <c r="F7" s="552"/>
      <c r="G7" s="559" t="s">
        <v>13</v>
      </c>
      <c r="H7" s="555">
        <v>135</v>
      </c>
      <c r="I7" s="552"/>
      <c r="J7" s="552"/>
      <c r="K7" s="552"/>
      <c r="L7" s="552"/>
    </row>
    <row r="8" spans="1:13" x14ac:dyDescent="0.35">
      <c r="A8" s="552"/>
      <c r="B8" s="552"/>
      <c r="C8" s="552"/>
      <c r="D8" s="556" t="s">
        <v>14</v>
      </c>
      <c r="E8" s="557">
        <v>2008</v>
      </c>
      <c r="F8" s="552"/>
      <c r="G8" s="555" t="s">
        <v>15</v>
      </c>
      <c r="H8" s="555">
        <v>8</v>
      </c>
      <c r="I8" s="552"/>
      <c r="J8" s="552"/>
      <c r="K8" s="552"/>
      <c r="L8" s="552"/>
    </row>
    <row r="9" spans="1:13" x14ac:dyDescent="0.35">
      <c r="A9" s="552"/>
      <c r="B9" s="552"/>
      <c r="C9" s="552"/>
      <c r="D9" s="556" t="s">
        <v>16</v>
      </c>
      <c r="E9" s="557">
        <v>2011</v>
      </c>
      <c r="F9" s="552"/>
      <c r="G9" s="552"/>
      <c r="H9" s="552"/>
      <c r="I9" s="552"/>
      <c r="J9" s="552"/>
      <c r="K9" s="552"/>
      <c r="L9" s="552"/>
    </row>
    <row r="10" spans="1:13" x14ac:dyDescent="0.35">
      <c r="A10" s="552"/>
      <c r="B10" s="552"/>
      <c r="C10" s="552"/>
      <c r="D10" s="556" t="s">
        <v>17</v>
      </c>
      <c r="E10" s="557">
        <v>2014</v>
      </c>
      <c r="F10" s="552"/>
      <c r="G10" s="553" t="s">
        <v>18</v>
      </c>
      <c r="H10" s="552"/>
      <c r="I10" s="552"/>
      <c r="J10" s="552"/>
      <c r="K10" s="552"/>
      <c r="L10" s="552"/>
    </row>
    <row r="11" spans="1:13" x14ac:dyDescent="0.35">
      <c r="A11" s="552"/>
      <c r="B11" s="552"/>
      <c r="C11" s="552"/>
      <c r="D11" s="556" t="s">
        <v>19</v>
      </c>
      <c r="E11" s="557">
        <v>2014</v>
      </c>
      <c r="F11" s="552"/>
      <c r="G11" s="552"/>
      <c r="H11" s="552"/>
      <c r="I11" s="552"/>
      <c r="J11" s="552"/>
      <c r="K11" s="552"/>
      <c r="L11" s="552"/>
    </row>
    <row r="12" spans="1:13" x14ac:dyDescent="0.35">
      <c r="A12" s="552"/>
      <c r="B12" s="552"/>
      <c r="C12" s="552"/>
      <c r="D12" s="556" t="s">
        <v>20</v>
      </c>
      <c r="E12" s="557">
        <v>2014</v>
      </c>
      <c r="F12" s="552"/>
      <c r="G12" s="560" t="s">
        <v>21</v>
      </c>
      <c r="H12" s="555">
        <v>1286</v>
      </c>
      <c r="I12" s="552"/>
      <c r="J12" s="552"/>
      <c r="K12" s="552"/>
      <c r="L12" s="552"/>
    </row>
    <row r="13" spans="1:13" x14ac:dyDescent="0.35">
      <c r="A13" s="552"/>
      <c r="B13" s="552"/>
      <c r="C13" s="552"/>
      <c r="D13" s="556" t="s">
        <v>22</v>
      </c>
      <c r="E13" s="557">
        <v>2014</v>
      </c>
      <c r="F13" s="552"/>
      <c r="G13" s="560" t="s">
        <v>23</v>
      </c>
      <c r="H13" s="555">
        <v>90</v>
      </c>
      <c r="I13" s="552"/>
      <c r="J13" s="552"/>
      <c r="K13" s="552"/>
      <c r="L13" s="552"/>
    </row>
    <row r="14" spans="1:13" x14ac:dyDescent="0.35">
      <c r="A14" s="552"/>
      <c r="B14" s="552"/>
      <c r="C14" s="552"/>
      <c r="D14" s="556" t="s">
        <v>24</v>
      </c>
      <c r="E14" s="557">
        <v>2015</v>
      </c>
      <c r="F14" s="552"/>
      <c r="G14" s="560" t="s">
        <v>25</v>
      </c>
      <c r="H14" s="555">
        <v>1195</v>
      </c>
      <c r="I14" s="552"/>
      <c r="J14" s="552"/>
      <c r="K14" s="552"/>
      <c r="L14" s="552"/>
    </row>
    <row r="15" spans="1:13" x14ac:dyDescent="0.35">
      <c r="A15" s="552"/>
      <c r="B15" s="552"/>
      <c r="C15" s="552"/>
      <c r="D15" s="556" t="s">
        <v>26</v>
      </c>
      <c r="E15" s="557">
        <v>2015</v>
      </c>
      <c r="F15" s="552"/>
      <c r="G15" s="552"/>
      <c r="H15" s="552"/>
      <c r="I15" s="552"/>
      <c r="J15" s="552"/>
      <c r="K15" s="552"/>
      <c r="L15" s="552"/>
    </row>
    <row r="16" spans="1:13" x14ac:dyDescent="0.35">
      <c r="A16" s="552"/>
      <c r="B16" s="552"/>
      <c r="C16" s="552"/>
      <c r="D16" s="556" t="s">
        <v>27</v>
      </c>
      <c r="E16" s="557">
        <v>2018</v>
      </c>
      <c r="F16" s="552"/>
      <c r="G16" s="552"/>
      <c r="H16" s="552"/>
      <c r="I16" s="561"/>
      <c r="J16" s="561"/>
      <c r="K16" s="561"/>
      <c r="L16" s="561"/>
      <c r="M16" s="1"/>
    </row>
    <row r="17" spans="1:13" x14ac:dyDescent="0.35">
      <c r="A17" s="552"/>
      <c r="B17" s="552"/>
      <c r="C17" s="552"/>
      <c r="D17" s="556" t="s">
        <v>28</v>
      </c>
      <c r="E17" s="557">
        <v>2019</v>
      </c>
      <c r="F17" s="552"/>
      <c r="G17" s="552"/>
      <c r="H17" s="552"/>
      <c r="I17" s="562"/>
      <c r="J17" s="562"/>
      <c r="K17" s="562"/>
      <c r="L17" s="562"/>
      <c r="M17" s="78"/>
    </row>
    <row r="18" spans="1:13" x14ac:dyDescent="0.35">
      <c r="A18" s="552"/>
      <c r="B18" s="552"/>
      <c r="C18" s="552"/>
      <c r="D18" s="556" t="s">
        <v>29</v>
      </c>
      <c r="E18" s="557">
        <v>2020</v>
      </c>
      <c r="F18" s="552"/>
      <c r="G18" s="552"/>
      <c r="H18" s="562"/>
      <c r="I18" s="562"/>
      <c r="J18" s="562"/>
      <c r="K18" s="562"/>
      <c r="L18" s="562"/>
      <c r="M18" s="78"/>
    </row>
    <row r="19" spans="1:13" x14ac:dyDescent="0.35">
      <c r="A19" s="552"/>
      <c r="B19" s="552"/>
      <c r="C19" s="552"/>
      <c r="D19" s="556" t="s">
        <v>30</v>
      </c>
      <c r="E19" s="557">
        <v>2020</v>
      </c>
      <c r="F19" s="552"/>
      <c r="G19" s="553" t="s">
        <v>31</v>
      </c>
      <c r="H19" s="562"/>
      <c r="I19" s="562"/>
      <c r="J19" s="562"/>
      <c r="K19" s="562"/>
      <c r="L19" s="562"/>
      <c r="M19" s="78"/>
    </row>
    <row r="20" spans="1:13" x14ac:dyDescent="0.35">
      <c r="A20" s="552"/>
      <c r="B20" s="552"/>
      <c r="C20" s="552"/>
      <c r="D20" s="556" t="s">
        <v>32</v>
      </c>
      <c r="E20" s="557">
        <v>2021</v>
      </c>
      <c r="F20" s="552"/>
      <c r="G20" s="552"/>
      <c r="H20" s="562"/>
      <c r="I20" s="562"/>
      <c r="J20" s="562"/>
      <c r="K20" s="562"/>
      <c r="L20" s="562"/>
      <c r="M20" s="78"/>
    </row>
    <row r="21" spans="1:13" x14ac:dyDescent="0.35">
      <c r="A21" s="552"/>
      <c r="B21" s="552"/>
      <c r="C21" s="552"/>
      <c r="D21" s="556" t="s">
        <v>33</v>
      </c>
      <c r="E21" s="557">
        <v>2021</v>
      </c>
      <c r="F21" s="552"/>
      <c r="G21" s="563" t="s">
        <v>34</v>
      </c>
      <c r="H21" s="563" t="s">
        <v>35</v>
      </c>
      <c r="I21" s="116" t="s">
        <v>36</v>
      </c>
      <c r="J21" s="116" t="s">
        <v>37</v>
      </c>
      <c r="K21" s="116" t="s">
        <v>38</v>
      </c>
      <c r="L21" s="564" t="s">
        <v>39</v>
      </c>
      <c r="M21" s="78"/>
    </row>
    <row r="22" spans="1:13" x14ac:dyDescent="0.35">
      <c r="A22" s="552"/>
      <c r="B22" s="552"/>
      <c r="C22" s="552"/>
      <c r="D22" s="556" t="s">
        <v>40</v>
      </c>
      <c r="E22" s="557">
        <v>2022</v>
      </c>
      <c r="F22" s="552"/>
      <c r="G22" s="565" t="s">
        <v>41</v>
      </c>
      <c r="H22" s="566">
        <v>260</v>
      </c>
      <c r="I22" s="567">
        <f>'Ref - Class Runs 2021 2022'!K28</f>
        <v>0.70624999999999993</v>
      </c>
      <c r="J22" s="558">
        <f>'Ref - Class Runs 2021 2022'!K30</f>
        <v>16</v>
      </c>
      <c r="K22" s="567">
        <f>'Ref - Class Runs 2021 2022'!K10</f>
        <v>0.72222222222222232</v>
      </c>
      <c r="L22" s="568">
        <f>'Ref - Class Runs 2021 2022'!K12</f>
        <v>18</v>
      </c>
      <c r="M22" s="78"/>
    </row>
    <row r="23" spans="1:13" x14ac:dyDescent="0.35">
      <c r="A23" s="552"/>
      <c r="B23" s="552"/>
      <c r="C23" s="552"/>
      <c r="D23" s="634" t="s">
        <v>42</v>
      </c>
      <c r="E23" s="634"/>
      <c r="F23" s="552"/>
      <c r="G23" s="565" t="s">
        <v>43</v>
      </c>
      <c r="H23" s="566">
        <v>260</v>
      </c>
      <c r="I23" s="567">
        <f>'Ref - Class Runs 2021 2022'!K48</f>
        <v>0.33333333333333331</v>
      </c>
      <c r="J23" s="558">
        <f>'Ref - Class Runs 2021 2022'!K50</f>
        <v>3</v>
      </c>
      <c r="K23" s="567">
        <f>'Ref - Class Runs 2021 2022'!K43</f>
        <v>0.64</v>
      </c>
      <c r="L23" s="568">
        <f>'Ref - Class Runs 2021 2022'!K45</f>
        <v>8</v>
      </c>
      <c r="M23" s="78"/>
    </row>
    <row r="24" spans="1:13" ht="14.15" customHeight="1" x14ac:dyDescent="0.35">
      <c r="A24" s="552"/>
      <c r="B24" s="552"/>
      <c r="C24" s="552"/>
      <c r="D24" s="554" t="s">
        <v>44</v>
      </c>
      <c r="E24" s="554" t="s">
        <v>45</v>
      </c>
      <c r="F24" s="552"/>
      <c r="G24" s="565" t="s">
        <v>46</v>
      </c>
      <c r="H24" s="566">
        <v>260</v>
      </c>
      <c r="I24" s="567">
        <f>'Ref - Class Runs 2021 2022'!K57</f>
        <v>0.5</v>
      </c>
      <c r="J24" s="558">
        <f>'Ref - Class Runs 2021 2022'!K58</f>
        <v>1</v>
      </c>
      <c r="K24" s="567">
        <f>'Ref - Class Runs 2021 2022'!K54</f>
        <v>0.5</v>
      </c>
      <c r="L24" s="569">
        <f>'Ref - Class Runs 2021 2022'!K55</f>
        <v>1</v>
      </c>
      <c r="M24" s="78"/>
    </row>
    <row r="25" spans="1:13" x14ac:dyDescent="0.35">
      <c r="A25" s="552"/>
      <c r="B25" s="552"/>
      <c r="C25" s="552"/>
      <c r="D25" s="557" t="s">
        <v>47</v>
      </c>
      <c r="E25" s="557">
        <v>2003</v>
      </c>
      <c r="F25" s="552"/>
      <c r="G25" s="565" t="s">
        <v>48</v>
      </c>
      <c r="H25" s="566">
        <v>260</v>
      </c>
      <c r="I25" s="567">
        <f>'Ref - Class Runs 2021 2022'!K175</f>
        <v>0.63</v>
      </c>
      <c r="J25" s="558">
        <f>'Ref - Class Runs 2021 2022'!K177</f>
        <v>30</v>
      </c>
      <c r="K25" s="567">
        <f>'Ref - Class Runs 2021 2022'!K203</f>
        <v>0.6333333333333333</v>
      </c>
      <c r="L25" s="569">
        <f>'Ref - Class Runs 2021 2022'!K205</f>
        <v>36</v>
      </c>
    </row>
    <row r="26" spans="1:13" x14ac:dyDescent="0.35">
      <c r="A26" s="552"/>
      <c r="B26" s="552"/>
      <c r="C26" s="552"/>
      <c r="D26" s="557" t="s">
        <v>49</v>
      </c>
      <c r="E26" s="557">
        <v>2012</v>
      </c>
      <c r="F26" s="552"/>
      <c r="G26" s="565" t="s">
        <v>50</v>
      </c>
      <c r="H26" s="566">
        <v>260</v>
      </c>
      <c r="I26" s="567">
        <f>'Ref - Class Runs 2021 2022'!K75</f>
        <v>0.5357142857142857</v>
      </c>
      <c r="J26" s="558">
        <f>'Ref - Class Runs 2021 2022'!K77</f>
        <v>14</v>
      </c>
      <c r="K26" s="567">
        <f>'Ref - Class Runs 2021 2022'!K64</f>
        <v>0.65000000000000013</v>
      </c>
      <c r="L26" s="569">
        <f>'Ref - Class Runs 2021 2022'!K66</f>
        <v>10</v>
      </c>
    </row>
    <row r="27" spans="1:13" x14ac:dyDescent="0.35">
      <c r="A27" s="552"/>
      <c r="B27" s="552"/>
      <c r="C27" s="552"/>
      <c r="D27" s="557" t="s">
        <v>51</v>
      </c>
      <c r="E27" s="557">
        <v>2014</v>
      </c>
      <c r="F27" s="552"/>
      <c r="G27" s="565" t="s">
        <v>52</v>
      </c>
      <c r="H27" s="566">
        <v>260</v>
      </c>
      <c r="I27" s="567">
        <f>'Ref - Class Runs 2021 2022'!K110</f>
        <v>0.55263157894736836</v>
      </c>
      <c r="J27" s="558">
        <f>'Ref - Class Runs 2021 2022'!K112</f>
        <v>19</v>
      </c>
      <c r="K27" s="567">
        <f>'Ref - Class Runs 2021 2022'!K95</f>
        <v>0.7142857142857143</v>
      </c>
      <c r="L27" s="569">
        <f>'Ref - Class Runs 2021 2022'!K97</f>
        <v>14</v>
      </c>
    </row>
    <row r="28" spans="1:13" x14ac:dyDescent="0.35">
      <c r="A28" s="552"/>
      <c r="B28" s="552"/>
      <c r="C28" s="552"/>
      <c r="D28" s="557" t="s">
        <v>53</v>
      </c>
      <c r="E28" s="557">
        <v>2015</v>
      </c>
      <c r="F28" s="552"/>
      <c r="G28" s="565" t="s">
        <v>54</v>
      </c>
      <c r="H28" s="566">
        <v>260</v>
      </c>
      <c r="I28" s="567">
        <f>'Ref - Class Runs 2021 2022'!K136</f>
        <v>0.54999999999999993</v>
      </c>
      <c r="J28" s="558">
        <f>'Ref - Class Runs 2021 2022'!K138</f>
        <v>14</v>
      </c>
      <c r="K28" s="567">
        <f>'Ref - Class Runs 2021 2022'!K127</f>
        <v>0.6</v>
      </c>
      <c r="L28" s="569">
        <f>'Ref - Class Runs 2021 2022'!K129</f>
        <v>6</v>
      </c>
    </row>
    <row r="29" spans="1:13" x14ac:dyDescent="0.35">
      <c r="A29" s="552"/>
      <c r="B29" s="552"/>
      <c r="C29" s="552"/>
      <c r="D29" s="557" t="s">
        <v>55</v>
      </c>
      <c r="E29" s="557">
        <v>2015</v>
      </c>
      <c r="F29" s="552"/>
      <c r="G29" s="565" t="s">
        <v>56</v>
      </c>
      <c r="H29" s="566">
        <v>180</v>
      </c>
      <c r="I29" s="567">
        <f>'Ref - Class Runs 2021 2022'!K159</f>
        <v>0.61818181818181817</v>
      </c>
      <c r="J29" s="558">
        <f>'Ref - Class Runs 2021 2022'!K161</f>
        <v>11</v>
      </c>
      <c r="K29" s="567">
        <f>'Ref - Class Runs 2021 2022'!K151</f>
        <v>0.7</v>
      </c>
      <c r="L29" s="569">
        <f>'Ref - Class Runs 2021 2022'!K153</f>
        <v>4</v>
      </c>
    </row>
    <row r="30" spans="1:13" x14ac:dyDescent="0.35">
      <c r="A30" s="552"/>
      <c r="B30" s="552"/>
      <c r="C30" s="552"/>
      <c r="D30" s="557" t="s">
        <v>57</v>
      </c>
      <c r="E30" s="557">
        <v>2018</v>
      </c>
      <c r="F30" s="552"/>
      <c r="G30" s="570" t="s">
        <v>58</v>
      </c>
      <c r="H30" s="552"/>
      <c r="I30" s="186"/>
      <c r="J30" s="186"/>
      <c r="K30" s="552"/>
      <c r="L30" s="571"/>
    </row>
    <row r="31" spans="1:13" x14ac:dyDescent="0.35">
      <c r="A31" s="552"/>
      <c r="B31" s="552"/>
      <c r="C31" s="552"/>
      <c r="D31" s="557" t="s">
        <v>59</v>
      </c>
      <c r="E31" s="557">
        <v>2018</v>
      </c>
      <c r="F31" s="552"/>
      <c r="G31" s="570" t="s">
        <v>60</v>
      </c>
      <c r="H31" s="570"/>
      <c r="I31" s="572">
        <f>AVERAGE(I22:I29)</f>
        <v>0.55326387702210067</v>
      </c>
      <c r="J31" s="573">
        <f>SUM(J22:J29)</f>
        <v>108</v>
      </c>
      <c r="K31" s="552"/>
      <c r="L31" s="571"/>
    </row>
    <row r="32" spans="1:13" x14ac:dyDescent="0.35">
      <c r="A32" s="552"/>
      <c r="B32" s="552"/>
      <c r="C32" s="552"/>
      <c r="D32" s="557" t="s">
        <v>61</v>
      </c>
      <c r="E32" s="557">
        <v>2018</v>
      </c>
      <c r="F32" s="552"/>
      <c r="G32" s="552"/>
      <c r="H32" s="552"/>
      <c r="I32" s="552"/>
      <c r="J32" s="574"/>
      <c r="K32" s="552"/>
      <c r="L32" s="571"/>
    </row>
    <row r="33" spans="1:12" x14ac:dyDescent="0.35">
      <c r="A33" s="552"/>
      <c r="B33" s="552"/>
      <c r="C33" s="552"/>
      <c r="D33" s="557" t="s">
        <v>62</v>
      </c>
      <c r="E33" s="557">
        <v>2018</v>
      </c>
      <c r="F33" s="552"/>
      <c r="G33" s="552"/>
      <c r="H33" s="552"/>
      <c r="I33" s="552"/>
      <c r="J33" s="552"/>
      <c r="K33" s="552"/>
      <c r="L33" s="571"/>
    </row>
    <row r="34" spans="1:12" x14ac:dyDescent="0.35">
      <c r="A34" s="552"/>
      <c r="B34" s="552"/>
      <c r="C34" s="552"/>
      <c r="D34" s="557" t="s">
        <v>63</v>
      </c>
      <c r="E34" s="557">
        <v>2019</v>
      </c>
      <c r="F34" s="552"/>
      <c r="G34" s="552"/>
      <c r="H34" s="552"/>
      <c r="I34" s="552"/>
      <c r="J34" s="552"/>
      <c r="K34" s="552"/>
      <c r="L34" s="571"/>
    </row>
    <row r="35" spans="1:12" x14ac:dyDescent="0.35">
      <c r="A35" s="552"/>
      <c r="B35" s="552"/>
      <c r="C35" s="552"/>
      <c r="D35" s="557" t="s">
        <v>64</v>
      </c>
      <c r="E35" s="557">
        <v>2020</v>
      </c>
      <c r="F35" s="552"/>
      <c r="G35" s="552"/>
      <c r="H35" s="186"/>
      <c r="I35" s="186"/>
      <c r="J35" s="186"/>
      <c r="K35" s="186"/>
      <c r="L35" s="575"/>
    </row>
    <row r="36" spans="1:12" x14ac:dyDescent="0.35">
      <c r="A36" s="552"/>
      <c r="B36" s="552"/>
      <c r="C36" s="552"/>
      <c r="D36" s="557" t="s">
        <v>65</v>
      </c>
      <c r="E36" s="557">
        <v>2020</v>
      </c>
      <c r="F36" s="552"/>
      <c r="G36" s="570" t="s">
        <v>66</v>
      </c>
      <c r="H36" s="552"/>
      <c r="I36" s="552"/>
      <c r="J36" s="552"/>
      <c r="K36" s="552"/>
      <c r="L36" s="552"/>
    </row>
    <row r="37" spans="1:12" x14ac:dyDescent="0.35">
      <c r="A37" s="552"/>
      <c r="B37" s="552"/>
      <c r="C37" s="552"/>
      <c r="D37" s="557" t="s">
        <v>67</v>
      </c>
      <c r="E37" s="557">
        <v>2020</v>
      </c>
      <c r="F37" s="552"/>
      <c r="G37" s="552"/>
      <c r="H37" s="552"/>
      <c r="I37" s="552"/>
      <c r="J37" s="552"/>
      <c r="K37" s="552"/>
      <c r="L37" s="552"/>
    </row>
    <row r="38" spans="1:12" x14ac:dyDescent="0.35">
      <c r="A38" s="552"/>
      <c r="B38" s="552"/>
      <c r="C38" s="552"/>
      <c r="D38" s="557" t="s">
        <v>68</v>
      </c>
      <c r="E38" s="557">
        <v>2021</v>
      </c>
      <c r="F38" s="552"/>
      <c r="G38" s="576" t="s">
        <v>69</v>
      </c>
      <c r="H38" s="116" t="s">
        <v>70</v>
      </c>
      <c r="I38" s="577" t="s">
        <v>71</v>
      </c>
      <c r="J38" s="560" t="s">
        <v>72</v>
      </c>
      <c r="K38" s="552"/>
      <c r="L38" s="552"/>
    </row>
    <row r="39" spans="1:12" x14ac:dyDescent="0.35">
      <c r="A39" s="552"/>
      <c r="B39" s="552"/>
      <c r="C39" s="552"/>
      <c r="D39" s="557" t="s">
        <v>73</v>
      </c>
      <c r="E39" s="557">
        <v>2021</v>
      </c>
      <c r="F39" s="552"/>
      <c r="G39" s="578" t="s">
        <v>74</v>
      </c>
      <c r="H39" s="555"/>
      <c r="I39" s="579">
        <v>5500</v>
      </c>
      <c r="J39" s="580">
        <f>I39*12</f>
        <v>66000</v>
      </c>
      <c r="K39" s="552"/>
      <c r="L39" s="552"/>
    </row>
    <row r="40" spans="1:12" ht="29" x14ac:dyDescent="0.35">
      <c r="A40" s="552"/>
      <c r="B40" s="552"/>
      <c r="C40" s="552"/>
      <c r="D40" s="557" t="s">
        <v>75</v>
      </c>
      <c r="E40" s="557">
        <v>2022</v>
      </c>
      <c r="F40" s="552"/>
      <c r="G40" s="581" t="s">
        <v>76</v>
      </c>
      <c r="H40" s="555"/>
      <c r="I40" s="579">
        <v>2000</v>
      </c>
      <c r="J40" s="580">
        <f t="shared" ref="J40:J41" si="0">I40*12</f>
        <v>24000</v>
      </c>
      <c r="K40" s="552"/>
      <c r="L40" s="552"/>
    </row>
    <row r="41" spans="1:12" ht="29" x14ac:dyDescent="0.35">
      <c r="A41" s="552"/>
      <c r="B41" s="552"/>
      <c r="C41" s="552"/>
      <c r="D41" s="557" t="s">
        <v>77</v>
      </c>
      <c r="E41" s="557">
        <v>2022</v>
      </c>
      <c r="F41" s="552"/>
      <c r="G41" s="582" t="s">
        <v>78</v>
      </c>
      <c r="H41" s="555"/>
      <c r="I41" s="583">
        <v>100</v>
      </c>
      <c r="J41" s="584">
        <f t="shared" si="0"/>
        <v>1200</v>
      </c>
      <c r="K41" s="552"/>
      <c r="L41" s="552"/>
    </row>
    <row r="42" spans="1:12" x14ac:dyDescent="0.35">
      <c r="A42" s="552"/>
      <c r="B42" s="552"/>
      <c r="C42" s="552"/>
      <c r="D42" s="552"/>
      <c r="E42" s="552"/>
      <c r="F42" s="552"/>
      <c r="G42" s="585" t="s">
        <v>79</v>
      </c>
      <c r="H42" s="555"/>
      <c r="I42" s="586">
        <f>J42/12</f>
        <v>25</v>
      </c>
      <c r="J42" s="587">
        <v>300</v>
      </c>
      <c r="K42" s="552"/>
      <c r="L42" s="552"/>
    </row>
    <row r="43" spans="1:12" x14ac:dyDescent="0.35">
      <c r="A43" s="552"/>
      <c r="B43" s="552"/>
      <c r="C43" s="552"/>
      <c r="D43" s="561"/>
      <c r="E43" s="561"/>
      <c r="F43" s="552"/>
      <c r="G43" s="588" t="s">
        <v>80</v>
      </c>
      <c r="H43" s="555"/>
      <c r="I43" s="589">
        <v>200</v>
      </c>
      <c r="J43" s="580">
        <f>I43*12</f>
        <v>2400</v>
      </c>
      <c r="K43" s="552"/>
      <c r="L43" s="552"/>
    </row>
    <row r="44" spans="1:12" x14ac:dyDescent="0.35">
      <c r="A44" s="552"/>
      <c r="B44" s="552"/>
      <c r="C44" s="552"/>
      <c r="D44" s="561"/>
      <c r="E44" s="561"/>
      <c r="F44" s="552"/>
      <c r="G44" s="588" t="s">
        <v>81</v>
      </c>
      <c r="H44" s="555"/>
      <c r="I44" s="589">
        <v>125</v>
      </c>
      <c r="J44" s="580">
        <f>I44*12</f>
        <v>1500</v>
      </c>
      <c r="K44" s="552"/>
      <c r="L44" s="552"/>
    </row>
    <row r="45" spans="1:12" x14ac:dyDescent="0.35">
      <c r="A45" s="552"/>
      <c r="B45" s="552"/>
      <c r="C45" s="552"/>
      <c r="D45" s="561"/>
      <c r="E45" s="561"/>
      <c r="F45" s="552"/>
      <c r="G45" s="585"/>
      <c r="H45" s="555"/>
      <c r="I45" s="590">
        <f>SUM(I39:I44)</f>
        <v>7950</v>
      </c>
      <c r="J45" s="580">
        <f>SUM(J39:J44)</f>
        <v>95400</v>
      </c>
      <c r="K45" s="552"/>
      <c r="L45" s="552"/>
    </row>
    <row r="46" spans="1:12" x14ac:dyDescent="0.35">
      <c r="A46" s="552"/>
      <c r="B46" s="552"/>
      <c r="C46" s="552"/>
      <c r="D46" s="552"/>
      <c r="E46" s="552"/>
      <c r="F46" s="552"/>
      <c r="G46" s="591" t="s">
        <v>82</v>
      </c>
      <c r="H46" s="555"/>
      <c r="I46" s="552"/>
      <c r="J46" s="555"/>
      <c r="K46" s="552"/>
      <c r="L46" s="552"/>
    </row>
    <row r="47" spans="1:12" x14ac:dyDescent="0.35">
      <c r="A47" s="552"/>
      <c r="B47" s="552"/>
      <c r="C47" s="552"/>
      <c r="D47" s="552"/>
      <c r="E47" s="552"/>
      <c r="F47" s="552"/>
      <c r="G47" s="592" t="s">
        <v>83</v>
      </c>
      <c r="H47" s="593">
        <f>35</f>
        <v>35</v>
      </c>
      <c r="I47" s="590">
        <f>H47*8</f>
        <v>280</v>
      </c>
      <c r="J47" s="594"/>
      <c r="K47" s="552"/>
      <c r="L47" s="552"/>
    </row>
    <row r="48" spans="1:12" x14ac:dyDescent="0.35">
      <c r="A48" s="552"/>
      <c r="B48" s="552"/>
      <c r="C48" s="552"/>
      <c r="D48" s="552"/>
      <c r="E48" s="552"/>
      <c r="F48" s="552"/>
      <c r="G48" s="552"/>
      <c r="H48" s="552"/>
      <c r="I48" s="552"/>
      <c r="J48" s="552"/>
      <c r="K48" s="552"/>
      <c r="L48" s="552"/>
    </row>
    <row r="49" spans="1:12" x14ac:dyDescent="0.35">
      <c r="A49" s="552"/>
      <c r="B49" s="552"/>
      <c r="C49" s="552"/>
      <c r="D49" s="552"/>
      <c r="E49" s="552"/>
      <c r="F49" s="552"/>
      <c r="G49" s="552"/>
      <c r="H49" s="552"/>
      <c r="I49" s="552"/>
      <c r="J49" s="552"/>
      <c r="K49" s="552"/>
      <c r="L49" s="552"/>
    </row>
    <row r="50" spans="1:12" x14ac:dyDescent="0.35">
      <c r="A50" s="552"/>
      <c r="B50" s="552"/>
      <c r="C50" s="552"/>
      <c r="D50" s="552"/>
      <c r="E50" s="552"/>
      <c r="F50" s="552"/>
      <c r="G50" s="552"/>
      <c r="H50" s="552"/>
      <c r="I50" s="552"/>
      <c r="J50" s="552"/>
      <c r="K50" s="552"/>
      <c r="L50" s="552"/>
    </row>
    <row r="51" spans="1:12" x14ac:dyDescent="0.35">
      <c r="A51" s="552"/>
      <c r="B51" s="552"/>
      <c r="C51" s="552"/>
      <c r="D51" s="552"/>
      <c r="E51" s="552"/>
      <c r="F51" s="552"/>
      <c r="G51" s="552"/>
      <c r="H51" s="552"/>
      <c r="I51" s="552"/>
      <c r="J51" s="552"/>
      <c r="K51" s="552"/>
      <c r="L51" s="552"/>
    </row>
    <row r="52" spans="1:12" x14ac:dyDescent="0.35">
      <c r="A52" s="552"/>
      <c r="B52" s="552"/>
      <c r="C52" s="552"/>
      <c r="D52" s="552"/>
      <c r="E52" s="552"/>
      <c r="F52" s="552"/>
      <c r="G52" s="552"/>
      <c r="H52" s="552"/>
      <c r="I52" s="552"/>
      <c r="J52" s="552"/>
      <c r="K52" s="552"/>
      <c r="L52" s="552"/>
    </row>
    <row r="53" spans="1:12" x14ac:dyDescent="0.35">
      <c r="A53" s="552"/>
      <c r="B53" s="552"/>
      <c r="C53" s="552"/>
      <c r="D53" s="552"/>
      <c r="E53" s="552"/>
      <c r="F53" s="552"/>
      <c r="G53" s="552"/>
      <c r="H53" s="552"/>
      <c r="I53" s="552"/>
      <c r="J53" s="552"/>
      <c r="K53" s="552"/>
      <c r="L53" s="552"/>
    </row>
  </sheetData>
  <mergeCells count="3">
    <mergeCell ref="D4:E4"/>
    <mergeCell ref="D23:E23"/>
    <mergeCell ref="A1:L1"/>
  </mergeCells>
  <conditionalFormatting sqref="L30:L32">
    <cfRule type="top10" dxfId="13" priority="5" bottom="1" rank="1"/>
    <cfRule type="top10" dxfId="12" priority="6" rank="3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E584F-978F-47F6-B29B-7CA6FE21CFE1}">
  <dimension ref="A1:BE94"/>
  <sheetViews>
    <sheetView tabSelected="1" topLeftCell="C1" zoomScale="50" zoomScaleNormal="50" workbookViewId="0">
      <selection activeCell="AY37" sqref="AY37"/>
    </sheetView>
  </sheetViews>
  <sheetFormatPr defaultRowHeight="15" customHeight="1" x14ac:dyDescent="0.35"/>
  <cols>
    <col min="1" max="1" width="47.1796875" customWidth="1"/>
    <col min="2" max="2" width="37.26953125" customWidth="1"/>
    <col min="3" max="3" width="36.54296875" customWidth="1"/>
    <col min="4" max="4" width="33.7265625" customWidth="1"/>
    <col min="5" max="5" width="34" customWidth="1"/>
    <col min="6" max="6" width="26.7265625" customWidth="1"/>
    <col min="9" max="9" width="34.81640625" customWidth="1"/>
    <col min="10" max="10" width="29.7265625" customWidth="1"/>
    <col min="11" max="11" width="27.1796875" customWidth="1"/>
    <col min="12" max="12" width="25.26953125" customWidth="1"/>
    <col min="13" max="13" width="18.453125" customWidth="1"/>
    <col min="14" max="14" width="19.7265625" customWidth="1"/>
    <col min="15" max="15" width="21" customWidth="1"/>
    <col min="16" max="16" width="13.453125" customWidth="1"/>
    <col min="18" max="18" width="9" customWidth="1"/>
    <col min="19" max="19" width="33.453125" customWidth="1"/>
    <col min="20" max="20" width="35.54296875" customWidth="1"/>
    <col min="21" max="21" width="21.453125" customWidth="1"/>
    <col min="22" max="22" width="20.54296875" customWidth="1"/>
    <col min="23" max="23" width="40.1796875" customWidth="1"/>
    <col min="24" max="24" width="20.54296875" customWidth="1"/>
    <col min="25" max="25" width="36.26953125" customWidth="1"/>
    <col min="26" max="26" width="15.26953125" customWidth="1"/>
    <col min="28" max="28" width="56.26953125" customWidth="1"/>
    <col min="29" max="29" width="21.1796875" customWidth="1"/>
    <col min="30" max="30" width="38.1796875" customWidth="1"/>
    <col min="31" max="31" width="27" customWidth="1"/>
    <col min="33" max="33" width="16.54296875" customWidth="1"/>
    <col min="34" max="34" width="14.453125" customWidth="1"/>
    <col min="35" max="35" width="20.54296875" customWidth="1"/>
    <col min="37" max="37" width="17.26953125" customWidth="1"/>
    <col min="38" max="38" width="17.54296875" customWidth="1"/>
    <col min="39" max="39" width="17.81640625" customWidth="1"/>
    <col min="42" max="42" width="10" customWidth="1"/>
    <col min="44" max="44" width="35.7265625" bestFit="1" customWidth="1"/>
    <col min="45" max="45" width="14.81640625" customWidth="1"/>
    <col min="46" max="46" width="17.453125" customWidth="1"/>
    <col min="47" max="47" width="12.453125" bestFit="1" customWidth="1"/>
    <col min="48" max="48" width="20.1796875" customWidth="1"/>
    <col min="49" max="49" width="22.81640625" customWidth="1"/>
    <col min="50" max="50" width="13.453125" customWidth="1"/>
    <col min="51" max="51" width="18.1796875" customWidth="1"/>
    <col min="52" max="52" width="18.81640625" customWidth="1"/>
    <col min="53" max="54" width="11.54296875" bestFit="1" customWidth="1"/>
    <col min="55" max="55" width="17.26953125" customWidth="1"/>
    <col min="56" max="56" width="11.54296875" bestFit="1" customWidth="1"/>
    <col min="57" max="57" width="17.453125" customWidth="1"/>
  </cols>
  <sheetData>
    <row r="1" spans="1:57" ht="36.65" customHeight="1" thickBot="1" x14ac:dyDescent="0.6">
      <c r="A1" s="654" t="s">
        <v>84</v>
      </c>
      <c r="B1" s="655"/>
      <c r="C1" s="655"/>
      <c r="D1" s="655"/>
      <c r="E1" s="655"/>
      <c r="F1" s="656"/>
      <c r="G1" s="645" t="s">
        <v>85</v>
      </c>
      <c r="H1" s="646"/>
      <c r="I1" s="646"/>
      <c r="J1" s="646"/>
      <c r="K1" s="646"/>
      <c r="L1" s="646"/>
      <c r="M1" s="646"/>
      <c r="N1" s="646"/>
      <c r="O1" s="646"/>
      <c r="P1" s="646"/>
      <c r="Q1" s="645" t="s">
        <v>86</v>
      </c>
      <c r="R1" s="646"/>
      <c r="S1" s="646"/>
      <c r="T1" s="646"/>
      <c r="U1" s="646"/>
      <c r="V1" s="646"/>
      <c r="W1" s="646"/>
      <c r="X1" s="646"/>
      <c r="Y1" s="646"/>
      <c r="Z1" s="646"/>
      <c r="AA1" s="646"/>
      <c r="AB1" s="663"/>
      <c r="AC1" s="662" t="s">
        <v>87</v>
      </c>
      <c r="AD1" s="662"/>
      <c r="AE1" s="662"/>
      <c r="AF1" s="411"/>
      <c r="AG1" s="640" t="s">
        <v>88</v>
      </c>
      <c r="AH1" s="641"/>
      <c r="AI1" s="642"/>
      <c r="AJ1" s="491"/>
      <c r="AK1" s="640" t="s">
        <v>89</v>
      </c>
      <c r="AL1" s="641"/>
      <c r="AM1" s="642"/>
      <c r="AN1" s="411"/>
      <c r="AO1" s="682" t="s">
        <v>90</v>
      </c>
      <c r="AP1" s="683"/>
      <c r="AQ1" s="411"/>
      <c r="AR1" s="670" t="s">
        <v>91</v>
      </c>
      <c r="AS1" s="671"/>
      <c r="AT1" s="671"/>
      <c r="AU1" s="671"/>
      <c r="AV1" s="671"/>
      <c r="AW1" s="671"/>
      <c r="AX1" s="671"/>
      <c r="AY1" s="671"/>
      <c r="AZ1" s="671"/>
      <c r="BA1" s="671"/>
      <c r="BB1" s="671"/>
      <c r="BC1" s="671"/>
      <c r="BD1" s="671"/>
      <c r="BE1" s="672"/>
    </row>
    <row r="2" spans="1:57" ht="16" thickBot="1" x14ac:dyDescent="0.4">
      <c r="A2" s="657"/>
      <c r="B2" s="658"/>
      <c r="C2" s="658"/>
      <c r="D2" s="658"/>
      <c r="E2" s="658"/>
      <c r="F2" s="659"/>
      <c r="G2" s="647"/>
      <c r="H2" s="648"/>
      <c r="I2" s="648"/>
      <c r="J2" s="648"/>
      <c r="K2" s="648"/>
      <c r="L2" s="648"/>
      <c r="M2" s="648"/>
      <c r="N2" s="648"/>
      <c r="O2" s="648"/>
      <c r="P2" s="648"/>
      <c r="Q2" s="647"/>
      <c r="R2" s="648"/>
      <c r="S2" s="648"/>
      <c r="T2" s="648"/>
      <c r="U2" s="648"/>
      <c r="V2" s="648"/>
      <c r="W2" s="648"/>
      <c r="X2" s="648"/>
      <c r="Y2" s="648"/>
      <c r="Z2" s="648"/>
      <c r="AA2" s="648"/>
      <c r="AB2" s="664"/>
      <c r="AC2" s="595" t="s">
        <v>92</v>
      </c>
      <c r="AD2" s="460" t="s">
        <v>93</v>
      </c>
      <c r="AE2" s="460" t="s">
        <v>94</v>
      </c>
      <c r="AF2" s="478"/>
      <c r="AG2" s="492" t="s">
        <v>95</v>
      </c>
      <c r="AH2" s="492" t="s">
        <v>96</v>
      </c>
      <c r="AI2" s="492" t="s">
        <v>97</v>
      </c>
      <c r="AJ2" s="493"/>
      <c r="AK2" s="492" t="s">
        <v>95</v>
      </c>
      <c r="AL2" s="492" t="s">
        <v>96</v>
      </c>
      <c r="AM2" s="492" t="s">
        <v>97</v>
      </c>
      <c r="AN2" s="478"/>
      <c r="AO2" s="684"/>
      <c r="AP2" s="685"/>
      <c r="AQ2" s="478"/>
      <c r="AR2" s="673" t="s">
        <v>98</v>
      </c>
      <c r="AS2" s="674"/>
      <c r="AT2" s="674"/>
      <c r="AU2" s="674"/>
      <c r="AV2" s="674"/>
      <c r="AW2" s="674"/>
      <c r="AX2" s="674"/>
      <c r="AY2" s="674"/>
      <c r="AZ2" s="674"/>
      <c r="BA2" s="674"/>
      <c r="BB2" s="674"/>
      <c r="BC2" s="674"/>
      <c r="BD2" s="674"/>
      <c r="BE2" s="675"/>
    </row>
    <row r="3" spans="1:57" ht="37.5" thickBot="1" x14ac:dyDescent="0.4">
      <c r="A3" s="371" t="s">
        <v>34</v>
      </c>
      <c r="B3" s="368" t="s">
        <v>35</v>
      </c>
      <c r="C3" s="360" t="s">
        <v>99</v>
      </c>
      <c r="D3" s="361" t="s">
        <v>100</v>
      </c>
      <c r="E3" s="362" t="s">
        <v>38</v>
      </c>
      <c r="F3" s="363" t="s">
        <v>39</v>
      </c>
      <c r="G3" s="652" t="s">
        <v>101</v>
      </c>
      <c r="H3" s="653"/>
      <c r="I3" s="653"/>
      <c r="J3" s="653"/>
      <c r="K3" s="653"/>
      <c r="L3" s="653"/>
      <c r="M3" s="653"/>
      <c r="N3" s="653"/>
      <c r="O3" s="653"/>
      <c r="P3" s="653"/>
      <c r="Q3" s="665" t="s">
        <v>102</v>
      </c>
      <c r="R3" s="666"/>
      <c r="S3" s="666"/>
      <c r="T3" s="666"/>
      <c r="U3" s="666"/>
      <c r="V3" s="666"/>
      <c r="W3" s="666"/>
      <c r="X3" s="666"/>
      <c r="Y3" s="666"/>
      <c r="Z3" s="666"/>
      <c r="AA3" s="666"/>
      <c r="AB3" s="667"/>
      <c r="AC3" s="596">
        <f>'3. Customer_relations'!Y5</f>
        <v>2762</v>
      </c>
      <c r="AD3" s="412">
        <f>'3. Customer_relations'!Y13</f>
        <v>2191.1199833789783</v>
      </c>
      <c r="AE3" s="412">
        <f>'3. Customer_relations'!Y21</f>
        <v>4637.622255901103</v>
      </c>
      <c r="AF3" s="478"/>
      <c r="AG3" s="413">
        <f>'3. Customer_relations'!B32</f>
        <v>7.9394559006364327</v>
      </c>
      <c r="AH3" s="413">
        <f>'3. Customer_relations'!C32</f>
        <v>1.0545588091309543</v>
      </c>
      <c r="AI3" s="413">
        <f>'3. Customer_relations'!D32</f>
        <v>12.649430740135118</v>
      </c>
      <c r="AJ3" s="478"/>
      <c r="AK3" s="477">
        <f>AVERAGE('3. Customer_relations'!B6:Y6)</f>
        <v>1.2837687083043565E-2</v>
      </c>
      <c r="AL3" s="477">
        <f>AVERAGE('3. Customer_relations'!B14:Y14)</f>
        <v>2.7181175624999995E-2</v>
      </c>
      <c r="AM3" s="477">
        <f>AVERAGE('3. Customer_relations'!B22:Y22)</f>
        <v>2.3886568119426024E-3</v>
      </c>
      <c r="AN3" s="478"/>
      <c r="AO3" s="680">
        <v>240</v>
      </c>
      <c r="AP3" s="681"/>
      <c r="AQ3" s="478"/>
      <c r="AR3" s="502" t="s">
        <v>10</v>
      </c>
      <c r="AS3" s="503" t="s">
        <v>103</v>
      </c>
      <c r="AT3" s="503" t="s">
        <v>104</v>
      </c>
      <c r="AU3" s="503" t="s">
        <v>11</v>
      </c>
      <c r="AV3" s="503" t="s">
        <v>105</v>
      </c>
      <c r="AW3" s="503" t="s">
        <v>106</v>
      </c>
      <c r="AX3" s="503" t="s">
        <v>107</v>
      </c>
      <c r="AY3" s="503" t="s">
        <v>108</v>
      </c>
      <c r="AZ3" s="503" t="s">
        <v>109</v>
      </c>
      <c r="BA3" s="503" t="s">
        <v>110</v>
      </c>
      <c r="BB3" s="503" t="s">
        <v>111</v>
      </c>
      <c r="BC3" s="503" t="s">
        <v>112</v>
      </c>
      <c r="BD3" s="503" t="s">
        <v>113</v>
      </c>
      <c r="BE3" s="504" t="s">
        <v>114</v>
      </c>
    </row>
    <row r="4" spans="1:57" ht="18.5" x14ac:dyDescent="0.45">
      <c r="A4" s="372" t="s">
        <v>41</v>
      </c>
      <c r="B4" s="369">
        <v>260</v>
      </c>
      <c r="C4" s="191">
        <v>0.70624999999999993</v>
      </c>
      <c r="D4" s="219">
        <v>16</v>
      </c>
      <c r="E4" s="218">
        <v>0.72222222222222232</v>
      </c>
      <c r="F4" s="343">
        <v>18</v>
      </c>
      <c r="G4" s="326"/>
      <c r="H4" s="374"/>
      <c r="I4" s="182"/>
      <c r="J4" s="182"/>
      <c r="K4" s="182"/>
      <c r="L4" s="182"/>
      <c r="M4" s="182"/>
      <c r="N4" s="182"/>
      <c r="O4" s="182"/>
      <c r="P4" s="182"/>
      <c r="Q4" s="326"/>
      <c r="R4" s="597"/>
      <c r="S4" s="182"/>
      <c r="T4" s="182"/>
      <c r="U4" s="182"/>
      <c r="V4" s="182"/>
      <c r="W4" s="182"/>
      <c r="X4" s="182"/>
      <c r="Y4" s="182"/>
      <c r="Z4" s="182"/>
      <c r="AA4" s="182"/>
      <c r="AB4" s="325"/>
      <c r="AC4" s="478"/>
      <c r="AD4" s="478"/>
      <c r="AE4" s="478"/>
      <c r="AF4" s="478"/>
      <c r="AG4" s="478"/>
      <c r="AH4" s="478"/>
      <c r="AI4" s="478"/>
      <c r="AJ4" s="478"/>
      <c r="AK4" s="478"/>
      <c r="AL4" s="478"/>
      <c r="AM4" s="478"/>
      <c r="AN4" s="478"/>
      <c r="AO4" s="478"/>
      <c r="AP4" s="478"/>
      <c r="AQ4" s="478"/>
      <c r="AR4" s="505" t="s">
        <v>115</v>
      </c>
      <c r="AS4" s="627">
        <v>150000</v>
      </c>
      <c r="AT4" s="628"/>
      <c r="AU4" s="628"/>
      <c r="AV4" s="628"/>
      <c r="AW4" s="628"/>
      <c r="AX4" s="628"/>
      <c r="AY4" s="628"/>
      <c r="AZ4" s="628"/>
      <c r="BA4" s="628"/>
      <c r="BB4" s="628"/>
      <c r="BC4" s="628"/>
      <c r="BD4" s="628"/>
      <c r="BE4" s="496"/>
    </row>
    <row r="5" spans="1:57" ht="18.5" x14ac:dyDescent="0.45">
      <c r="A5" s="372" t="s">
        <v>43</v>
      </c>
      <c r="B5" s="369">
        <v>260</v>
      </c>
      <c r="C5" s="191">
        <v>0.33333333333333331</v>
      </c>
      <c r="D5" s="219">
        <v>3</v>
      </c>
      <c r="E5" s="218">
        <v>0.64</v>
      </c>
      <c r="F5" s="343">
        <v>8</v>
      </c>
      <c r="G5" s="326"/>
      <c r="H5" s="184"/>
      <c r="I5" s="182"/>
      <c r="J5" s="182"/>
      <c r="K5" s="182"/>
      <c r="L5" s="182"/>
      <c r="M5" s="182"/>
      <c r="N5" s="182"/>
      <c r="O5" s="182"/>
      <c r="P5" s="182"/>
      <c r="Q5" s="326"/>
      <c r="R5" s="184"/>
      <c r="S5" s="182"/>
      <c r="T5" s="182"/>
      <c r="U5" s="182"/>
      <c r="V5" s="182"/>
      <c r="W5" s="182"/>
      <c r="X5" s="182"/>
      <c r="Y5" s="182"/>
      <c r="Z5" s="182"/>
      <c r="AA5" s="182"/>
      <c r="AB5" s="325"/>
      <c r="AC5" s="478"/>
      <c r="AD5" s="478"/>
      <c r="AE5" s="478"/>
      <c r="AF5" s="478"/>
      <c r="AG5" s="478"/>
      <c r="AH5" s="478"/>
      <c r="AI5" s="478"/>
      <c r="AJ5" s="478"/>
      <c r="AK5" s="478"/>
      <c r="AL5" s="478"/>
      <c r="AM5" s="478"/>
      <c r="AN5" s="478"/>
      <c r="AO5" s="478"/>
      <c r="AP5" s="478"/>
      <c r="AQ5" s="478"/>
      <c r="AR5" s="505"/>
      <c r="AS5" s="628"/>
      <c r="AT5" s="628"/>
      <c r="AU5" s="628"/>
      <c r="AV5" s="628"/>
      <c r="AW5" s="628"/>
      <c r="AX5" s="628"/>
      <c r="AY5" s="628"/>
      <c r="AZ5" s="628"/>
      <c r="BA5" s="628"/>
      <c r="BB5" s="628"/>
      <c r="BC5" s="628"/>
      <c r="BD5" s="628"/>
      <c r="BE5" s="496"/>
    </row>
    <row r="6" spans="1:57" ht="18.5" x14ac:dyDescent="0.45">
      <c r="A6" s="372" t="s">
        <v>46</v>
      </c>
      <c r="B6" s="369">
        <v>260</v>
      </c>
      <c r="C6" s="191">
        <v>0.5</v>
      </c>
      <c r="D6" s="219">
        <v>1</v>
      </c>
      <c r="E6" s="218">
        <v>0.5</v>
      </c>
      <c r="F6" s="343">
        <v>1</v>
      </c>
      <c r="G6" s="326"/>
      <c r="H6" s="182"/>
      <c r="I6" s="182"/>
      <c r="J6" s="182"/>
      <c r="K6" s="182"/>
      <c r="L6" s="182"/>
      <c r="M6" s="182"/>
      <c r="N6" s="182"/>
      <c r="O6" s="182"/>
      <c r="P6" s="182"/>
      <c r="Q6" s="326"/>
      <c r="R6" s="184"/>
      <c r="S6" s="182"/>
      <c r="T6" s="182"/>
      <c r="U6" s="182"/>
      <c r="V6" s="182"/>
      <c r="W6" s="182"/>
      <c r="X6" s="182"/>
      <c r="Y6" s="182"/>
      <c r="Z6" s="182"/>
      <c r="AA6" s="182"/>
      <c r="AB6" s="325"/>
      <c r="AC6" s="478"/>
      <c r="AD6" s="478"/>
      <c r="AE6" s="478"/>
      <c r="AF6" s="478"/>
      <c r="AG6" s="478"/>
      <c r="AH6" s="478"/>
      <c r="AI6" s="478"/>
      <c r="AJ6" s="478"/>
      <c r="AK6" s="478"/>
      <c r="AL6" s="478"/>
      <c r="AM6" s="478"/>
      <c r="AN6" s="478"/>
      <c r="AO6" s="478"/>
      <c r="AP6" s="478"/>
      <c r="AQ6" s="478"/>
      <c r="AR6" s="505" t="s">
        <v>116</v>
      </c>
      <c r="AS6" s="629">
        <v>101340</v>
      </c>
      <c r="AT6" s="629">
        <v>117900</v>
      </c>
      <c r="AU6" s="629">
        <v>129899.95</v>
      </c>
      <c r="AV6" s="629">
        <v>132588</v>
      </c>
      <c r="AW6" s="629">
        <v>133020</v>
      </c>
      <c r="AX6" s="629">
        <v>135900</v>
      </c>
      <c r="AY6" s="629">
        <v>140364</v>
      </c>
      <c r="AZ6" s="629">
        <v>148284</v>
      </c>
      <c r="BA6" s="630">
        <v>150300</v>
      </c>
      <c r="BB6" s="630">
        <v>159516</v>
      </c>
      <c r="BC6" s="630">
        <v>161244</v>
      </c>
      <c r="BD6" s="630">
        <v>164700</v>
      </c>
      <c r="BE6" s="620">
        <v>197532</v>
      </c>
    </row>
    <row r="7" spans="1:57" ht="19" thickBot="1" x14ac:dyDescent="0.5">
      <c r="A7" s="372" t="s">
        <v>48</v>
      </c>
      <c r="B7" s="369">
        <v>260</v>
      </c>
      <c r="C7" s="191">
        <v>0.63</v>
      </c>
      <c r="D7" s="219">
        <v>30</v>
      </c>
      <c r="E7" s="218">
        <v>0.6333333333333333</v>
      </c>
      <c r="F7" s="343">
        <v>36</v>
      </c>
      <c r="G7" s="326"/>
      <c r="H7" s="182"/>
      <c r="I7" s="182"/>
      <c r="J7" s="182"/>
      <c r="K7" s="182"/>
      <c r="L7" s="182"/>
      <c r="M7" s="182"/>
      <c r="N7" s="182"/>
      <c r="O7" s="182"/>
      <c r="P7" s="182"/>
      <c r="Q7" s="326"/>
      <c r="R7" s="184"/>
      <c r="S7" s="182"/>
      <c r="T7" s="182"/>
      <c r="U7" s="182"/>
      <c r="V7" s="182"/>
      <c r="W7" s="182"/>
      <c r="X7" s="182"/>
      <c r="Y7" s="182"/>
      <c r="Z7" s="182"/>
      <c r="AA7" s="182"/>
      <c r="AB7" s="325"/>
      <c r="AC7" s="478"/>
      <c r="AD7" s="478"/>
      <c r="AE7" s="478"/>
      <c r="AF7" s="478"/>
      <c r="AG7" s="478"/>
      <c r="AH7" s="478"/>
      <c r="AI7" s="478"/>
      <c r="AJ7" s="478"/>
      <c r="AK7" s="478"/>
      <c r="AL7" s="478"/>
      <c r="AM7" s="478"/>
      <c r="AN7" s="478"/>
      <c r="AO7" s="478"/>
      <c r="AP7" s="478"/>
      <c r="AQ7" s="478"/>
      <c r="AR7" s="506"/>
      <c r="AS7" s="500"/>
      <c r="AT7" s="500"/>
      <c r="AU7" s="500"/>
      <c r="AV7" s="500"/>
      <c r="AW7" s="500"/>
      <c r="AX7" s="500"/>
      <c r="AY7" s="500"/>
      <c r="AZ7" s="500"/>
      <c r="BA7" s="500"/>
      <c r="BB7" s="500"/>
      <c r="BC7" s="500"/>
      <c r="BD7" s="500"/>
      <c r="BE7" s="501"/>
    </row>
    <row r="8" spans="1:57" ht="19" thickBot="1" x14ac:dyDescent="0.5">
      <c r="A8" s="372" t="s">
        <v>50</v>
      </c>
      <c r="B8" s="369">
        <v>260</v>
      </c>
      <c r="C8" s="191">
        <v>0.5357142857142857</v>
      </c>
      <c r="D8" s="219">
        <v>14</v>
      </c>
      <c r="E8" s="218">
        <v>0.65000000000000013</v>
      </c>
      <c r="F8" s="343">
        <v>10</v>
      </c>
      <c r="G8" s="326"/>
      <c r="H8" s="182"/>
      <c r="I8" s="182"/>
      <c r="J8" s="182"/>
      <c r="K8" s="182"/>
      <c r="L8" s="182"/>
      <c r="M8" s="182"/>
      <c r="N8" s="182"/>
      <c r="O8" s="182"/>
      <c r="P8" s="182"/>
      <c r="Q8" s="326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325"/>
      <c r="AC8" s="478"/>
      <c r="AD8" s="478"/>
      <c r="AE8" s="478"/>
      <c r="AF8" s="478"/>
      <c r="AG8" s="478"/>
      <c r="AH8" s="478"/>
      <c r="AI8" s="478"/>
      <c r="AJ8" s="478"/>
      <c r="AK8" s="478"/>
      <c r="AL8" s="478"/>
      <c r="AM8" s="478"/>
      <c r="AN8" s="478"/>
      <c r="AO8" s="478"/>
      <c r="AP8" s="478"/>
      <c r="AQ8" s="478"/>
      <c r="AR8" s="494"/>
      <c r="AS8" s="631"/>
      <c r="AT8" s="631"/>
      <c r="AU8" s="631"/>
      <c r="AV8" s="631"/>
      <c r="AW8" s="631"/>
      <c r="AX8" s="631"/>
      <c r="AY8" s="631"/>
      <c r="AZ8" s="631"/>
      <c r="BA8" s="631"/>
      <c r="BB8" s="631"/>
      <c r="BC8" s="631"/>
      <c r="BD8" s="631"/>
      <c r="BE8" s="495"/>
    </row>
    <row r="9" spans="1:57" ht="18.5" x14ac:dyDescent="0.45">
      <c r="A9" s="372" t="s">
        <v>52</v>
      </c>
      <c r="B9" s="369">
        <v>260</v>
      </c>
      <c r="C9" s="191">
        <v>0.55263157894736836</v>
      </c>
      <c r="D9" s="219">
        <v>19</v>
      </c>
      <c r="E9" s="218">
        <v>0.7142857142857143</v>
      </c>
      <c r="F9" s="343">
        <v>14</v>
      </c>
      <c r="G9" s="326"/>
      <c r="H9" s="182"/>
      <c r="I9" s="182"/>
      <c r="J9" s="182"/>
      <c r="K9" s="182"/>
      <c r="L9" s="182"/>
      <c r="M9" s="182"/>
      <c r="N9" s="182"/>
      <c r="O9" s="182"/>
      <c r="P9" s="182"/>
      <c r="Q9" s="326"/>
      <c r="R9" s="182"/>
      <c r="S9" s="379" t="s">
        <v>117</v>
      </c>
      <c r="T9" s="380" t="s">
        <v>118</v>
      </c>
      <c r="U9" s="381" t="s">
        <v>119</v>
      </c>
      <c r="V9" s="182"/>
      <c r="W9" s="182"/>
      <c r="X9" s="182"/>
      <c r="Y9" s="182"/>
      <c r="Z9" s="182"/>
      <c r="AA9" s="182"/>
      <c r="AB9" s="325"/>
      <c r="AC9" s="478"/>
      <c r="AD9" s="478"/>
      <c r="AE9" s="478"/>
      <c r="AF9" s="478"/>
      <c r="AG9" s="478"/>
      <c r="AH9" s="478"/>
      <c r="AI9" s="478"/>
      <c r="AJ9" s="478"/>
      <c r="AK9" s="478"/>
      <c r="AL9" s="478"/>
      <c r="AM9" s="478"/>
      <c r="AN9" s="478"/>
      <c r="AO9" s="478"/>
      <c r="AP9" s="478"/>
      <c r="AQ9" s="478"/>
      <c r="AR9" s="494"/>
      <c r="AS9" s="631"/>
      <c r="AT9" s="631"/>
      <c r="AU9" s="631"/>
      <c r="AV9" s="631"/>
      <c r="AW9" s="631"/>
      <c r="AX9" s="631"/>
      <c r="AY9" s="631"/>
      <c r="AZ9" s="631"/>
      <c r="BA9" s="631"/>
      <c r="BB9" s="631"/>
      <c r="BC9" s="631"/>
      <c r="BD9" s="631"/>
      <c r="BE9" s="495"/>
    </row>
    <row r="10" spans="1:57" ht="18.5" x14ac:dyDescent="0.45">
      <c r="A10" s="372" t="s">
        <v>54</v>
      </c>
      <c r="B10" s="369">
        <v>260</v>
      </c>
      <c r="C10" s="191">
        <v>0.54999999999999993</v>
      </c>
      <c r="D10" s="219">
        <v>14</v>
      </c>
      <c r="E10" s="218">
        <v>0.6</v>
      </c>
      <c r="F10" s="343">
        <v>6</v>
      </c>
      <c r="G10" s="326"/>
      <c r="H10" s="182"/>
      <c r="I10" s="182"/>
      <c r="J10" s="182"/>
      <c r="K10" s="182"/>
      <c r="L10" s="182"/>
      <c r="M10" s="182"/>
      <c r="N10" s="182"/>
      <c r="O10" s="182"/>
      <c r="P10" s="182"/>
      <c r="Q10" s="326"/>
      <c r="R10" s="182"/>
      <c r="S10" s="398" t="s">
        <v>120</v>
      </c>
      <c r="T10" s="415">
        <v>3</v>
      </c>
      <c r="U10" s="418">
        <v>5</v>
      </c>
      <c r="V10" s="182"/>
      <c r="W10" s="182"/>
      <c r="X10" s="182"/>
      <c r="Y10" s="182"/>
      <c r="Z10" s="182"/>
      <c r="AA10" s="182"/>
      <c r="AB10" s="325"/>
      <c r="AC10" s="478"/>
      <c r="AD10" s="478"/>
      <c r="AE10" s="478"/>
      <c r="AF10" s="478"/>
      <c r="AG10" s="478"/>
      <c r="AH10" s="478"/>
      <c r="AI10" s="478"/>
      <c r="AJ10" s="478"/>
      <c r="AK10" s="478"/>
      <c r="AL10" s="478"/>
      <c r="AM10" s="478"/>
      <c r="AN10" s="478"/>
      <c r="AO10" s="478"/>
      <c r="AP10" s="478"/>
      <c r="AQ10" s="478"/>
      <c r="AR10" s="494"/>
      <c r="AS10" s="631"/>
      <c r="AT10" s="631"/>
      <c r="AU10" s="631"/>
      <c r="AV10" s="631"/>
      <c r="AW10" s="631"/>
      <c r="AX10" s="631"/>
      <c r="AY10" s="631"/>
      <c r="AZ10" s="631"/>
      <c r="BA10" s="631"/>
      <c r="BB10" s="631"/>
      <c r="BC10" s="631"/>
      <c r="BD10" s="631"/>
      <c r="BE10" s="495"/>
    </row>
    <row r="11" spans="1:57" ht="19" thickBot="1" x14ac:dyDescent="0.5">
      <c r="A11" s="372" t="s">
        <v>56</v>
      </c>
      <c r="B11" s="369">
        <v>180</v>
      </c>
      <c r="C11" s="191">
        <v>0.61818181818181817</v>
      </c>
      <c r="D11" s="219">
        <v>11</v>
      </c>
      <c r="E11" s="218">
        <v>0.7</v>
      </c>
      <c r="F11" s="343">
        <v>4</v>
      </c>
      <c r="G11" s="326"/>
      <c r="H11" s="182"/>
      <c r="I11" s="182"/>
      <c r="J11" s="182"/>
      <c r="K11" s="182"/>
      <c r="L11" s="182"/>
      <c r="M11" s="182"/>
      <c r="N11" s="182"/>
      <c r="O11" s="182"/>
      <c r="P11" s="182"/>
      <c r="Q11" s="326"/>
      <c r="R11" s="182"/>
      <c r="S11" s="398" t="s">
        <v>121</v>
      </c>
      <c r="T11" s="415">
        <v>3</v>
      </c>
      <c r="U11" s="418">
        <v>2</v>
      </c>
      <c r="V11" s="182"/>
      <c r="W11" s="182"/>
      <c r="X11" s="182"/>
      <c r="Y11" s="182"/>
      <c r="Z11" s="182"/>
      <c r="AA11" s="182"/>
      <c r="AB11" s="325"/>
      <c r="AC11" s="478"/>
      <c r="AD11" s="478"/>
      <c r="AE11" s="478"/>
      <c r="AF11" s="478"/>
      <c r="AG11" s="478"/>
      <c r="AH11" s="478"/>
      <c r="AI11" s="478"/>
      <c r="AJ11" s="478"/>
      <c r="AK11" s="478"/>
      <c r="AL11" s="478"/>
      <c r="AM11" s="478"/>
      <c r="AN11" s="478"/>
      <c r="AO11" s="478"/>
      <c r="AP11" s="478"/>
      <c r="AQ11" s="478"/>
      <c r="AR11" s="494"/>
      <c r="AS11" s="631"/>
      <c r="AT11" s="631"/>
      <c r="AU11" s="631"/>
      <c r="AV11" s="631"/>
      <c r="AW11" s="631"/>
      <c r="AX11" s="631"/>
      <c r="AY11" s="631"/>
      <c r="AZ11" s="631"/>
      <c r="BA11" s="631"/>
      <c r="BB11" s="631"/>
      <c r="BC11" s="631"/>
      <c r="BD11" s="631"/>
      <c r="BE11" s="495"/>
    </row>
    <row r="12" spans="1:57" ht="44.15" customHeight="1" thickBot="1" x14ac:dyDescent="0.5">
      <c r="A12" s="373" t="s">
        <v>122</v>
      </c>
      <c r="B12" s="370"/>
      <c r="C12" s="364">
        <f>AVERAGE(C4:C11)</f>
        <v>0.55326387702210067</v>
      </c>
      <c r="D12" s="365">
        <f>SUM(D4:D11)</f>
        <v>108</v>
      </c>
      <c r="E12" s="366">
        <f>AVERAGE(E4:E11)</f>
        <v>0.64498015873015879</v>
      </c>
      <c r="F12" s="367">
        <f>SUM(F4:F11)</f>
        <v>97</v>
      </c>
      <c r="G12" s="326"/>
      <c r="H12" s="182"/>
      <c r="I12" s="182"/>
      <c r="J12" s="182"/>
      <c r="K12" s="182"/>
      <c r="L12" s="182"/>
      <c r="M12" s="182"/>
      <c r="N12" s="182"/>
      <c r="O12" s="182"/>
      <c r="P12" s="182"/>
      <c r="Q12" s="326"/>
      <c r="R12" s="182"/>
      <c r="S12" s="397" t="s">
        <v>123</v>
      </c>
      <c r="T12" s="415">
        <v>3</v>
      </c>
      <c r="U12" s="418">
        <v>2</v>
      </c>
      <c r="V12" s="182"/>
      <c r="W12" s="424" t="s">
        <v>124</v>
      </c>
      <c r="X12" s="182"/>
      <c r="Y12" s="182"/>
      <c r="Z12" s="182"/>
      <c r="AA12" s="182"/>
      <c r="AB12" s="325"/>
      <c r="AC12" s="478"/>
      <c r="AD12" s="478"/>
      <c r="AE12" s="478"/>
      <c r="AF12" s="478"/>
      <c r="AG12" s="478"/>
      <c r="AH12" s="478"/>
      <c r="AI12" s="478"/>
      <c r="AJ12" s="478"/>
      <c r="AK12" s="478"/>
      <c r="AL12" s="478"/>
      <c r="AM12" s="478"/>
      <c r="AN12" s="478"/>
      <c r="AO12" s="478"/>
      <c r="AP12" s="478"/>
      <c r="AQ12" s="478"/>
      <c r="AR12" s="494"/>
      <c r="AS12" s="632" t="s">
        <v>125</v>
      </c>
      <c r="AT12" s="631"/>
      <c r="AU12" s="631"/>
      <c r="AV12" s="631"/>
      <c r="AW12" s="631"/>
      <c r="AX12" s="631"/>
      <c r="AY12" s="631"/>
      <c r="AZ12" s="631"/>
      <c r="BA12" s="631"/>
      <c r="BB12" s="631"/>
      <c r="BC12" s="631"/>
      <c r="BD12" s="631"/>
      <c r="BE12" s="495"/>
    </row>
    <row r="13" spans="1:57" ht="18.5" x14ac:dyDescent="0.45">
      <c r="A13" s="344"/>
      <c r="B13" s="345"/>
      <c r="C13" s="345"/>
      <c r="D13" s="345"/>
      <c r="E13" s="345"/>
      <c r="F13" s="345"/>
      <c r="G13" s="326"/>
      <c r="H13" s="182"/>
      <c r="I13" s="182"/>
      <c r="J13" s="182"/>
      <c r="K13" s="182"/>
      <c r="L13" s="182"/>
      <c r="M13" s="182"/>
      <c r="N13" s="182"/>
      <c r="O13" s="182"/>
      <c r="P13" s="182"/>
      <c r="Q13" s="326"/>
      <c r="R13" s="182"/>
      <c r="S13" s="398" t="s">
        <v>126</v>
      </c>
      <c r="T13" s="668"/>
      <c r="U13" s="419">
        <f>SUMPRODUCT(U10:U12,T10:T12)</f>
        <v>27</v>
      </c>
      <c r="V13" s="182"/>
      <c r="W13" s="421"/>
      <c r="X13" s="182"/>
      <c r="Y13" s="182"/>
      <c r="Z13" s="182"/>
      <c r="AA13" s="182"/>
      <c r="AB13" s="325"/>
      <c r="AC13" s="478"/>
      <c r="AD13" s="478"/>
      <c r="AE13" s="478"/>
      <c r="AF13" s="478"/>
      <c r="AG13" s="478"/>
      <c r="AH13" s="478"/>
      <c r="AI13" s="478"/>
      <c r="AJ13" s="478"/>
      <c r="AK13" s="478"/>
      <c r="AL13" s="478"/>
      <c r="AM13" s="478"/>
      <c r="AN13" s="478"/>
      <c r="AO13" s="478"/>
      <c r="AP13" s="478"/>
      <c r="AQ13" s="478"/>
      <c r="AR13" s="507" t="s">
        <v>127</v>
      </c>
      <c r="AS13" s="508" t="s">
        <v>128</v>
      </c>
      <c r="AT13" s="508" t="s">
        <v>129</v>
      </c>
      <c r="AU13" s="508" t="s">
        <v>130</v>
      </c>
      <c r="AV13" s="508" t="s">
        <v>131</v>
      </c>
      <c r="AW13" s="509" t="s">
        <v>132</v>
      </c>
      <c r="AX13" s="631"/>
      <c r="AY13" s="631"/>
      <c r="AZ13" s="631"/>
      <c r="BA13" s="631"/>
      <c r="BB13" s="631"/>
      <c r="BC13" s="631"/>
      <c r="BD13" s="631"/>
      <c r="BE13" s="495"/>
    </row>
    <row r="14" spans="1:57" ht="21.5" thickBot="1" x14ac:dyDescent="0.55000000000000004">
      <c r="A14" s="660" t="s">
        <v>133</v>
      </c>
      <c r="B14" s="661"/>
      <c r="C14" s="345"/>
      <c r="D14" s="345"/>
      <c r="E14" s="345"/>
      <c r="F14" s="345"/>
      <c r="G14" s="326"/>
      <c r="H14" s="182"/>
      <c r="I14" s="182"/>
      <c r="J14" s="182"/>
      <c r="K14" s="182"/>
      <c r="L14" s="182"/>
      <c r="M14" s="182"/>
      <c r="N14" s="182"/>
      <c r="O14" s="182"/>
      <c r="P14" s="182"/>
      <c r="Q14" s="326"/>
      <c r="R14" s="182"/>
      <c r="S14" s="423" t="s">
        <v>134</v>
      </c>
      <c r="T14" s="669"/>
      <c r="U14" s="420">
        <f>U13*6</f>
        <v>162</v>
      </c>
      <c r="V14" s="598" t="s">
        <v>135</v>
      </c>
      <c r="W14" s="422">
        <f>U14-D12</f>
        <v>54</v>
      </c>
      <c r="X14" s="599">
        <f>W14/U14</f>
        <v>0.33333333333333331</v>
      </c>
      <c r="Y14" s="182"/>
      <c r="Z14" s="182"/>
      <c r="AA14" s="182"/>
      <c r="AB14" s="325"/>
      <c r="AC14" s="478"/>
      <c r="AD14" s="478"/>
      <c r="AE14" s="478"/>
      <c r="AF14" s="478"/>
      <c r="AG14" s="478"/>
      <c r="AH14" s="478"/>
      <c r="AI14" s="478"/>
      <c r="AJ14" s="478"/>
      <c r="AK14" s="478"/>
      <c r="AL14" s="478"/>
      <c r="AM14" s="478"/>
      <c r="AN14" s="478"/>
      <c r="AO14" s="478"/>
      <c r="AP14" s="478"/>
      <c r="AQ14" s="478"/>
      <c r="AR14" s="510" t="s">
        <v>103</v>
      </c>
      <c r="AS14" s="511">
        <v>-49196</v>
      </c>
      <c r="AT14" s="511">
        <v>19130.079999999958</v>
      </c>
      <c r="AU14" s="511">
        <v>28224.745599999995</v>
      </c>
      <c r="AV14" s="511">
        <v>38149.770592000015</v>
      </c>
      <c r="AW14" s="512">
        <f>SUM(AS14:AV14)</f>
        <v>36308.596191999968</v>
      </c>
      <c r="AX14" s="631"/>
      <c r="AY14" s="631"/>
      <c r="AZ14" s="631"/>
      <c r="BA14" s="631"/>
      <c r="BB14" s="631"/>
      <c r="BC14" s="631"/>
      <c r="BD14" s="631"/>
      <c r="BE14" s="495"/>
    </row>
    <row r="15" spans="1:57" ht="18.5" x14ac:dyDescent="0.45">
      <c r="A15" s="346"/>
      <c r="B15" s="345"/>
      <c r="C15" s="345"/>
      <c r="D15" s="345"/>
      <c r="E15" s="345"/>
      <c r="F15" s="345"/>
      <c r="G15" s="326"/>
      <c r="H15" s="182"/>
      <c r="I15" s="182"/>
      <c r="J15" s="182"/>
      <c r="K15" s="182"/>
      <c r="L15" s="182"/>
      <c r="M15" s="182"/>
      <c r="N15" s="182"/>
      <c r="O15" s="182"/>
      <c r="P15" s="182"/>
      <c r="Q15" s="326"/>
      <c r="R15" s="182"/>
      <c r="S15" s="182"/>
      <c r="T15" s="182"/>
      <c r="U15" s="182"/>
      <c r="V15" s="182"/>
      <c r="W15" s="182"/>
      <c r="X15" s="182"/>
      <c r="Y15" s="182"/>
      <c r="Z15" s="182"/>
      <c r="AA15" s="182"/>
      <c r="AB15" s="325"/>
      <c r="AC15" s="478"/>
      <c r="AD15" s="478"/>
      <c r="AE15" s="478"/>
      <c r="AF15" s="478"/>
      <c r="AG15" s="478"/>
      <c r="AH15" s="478"/>
      <c r="AI15" s="478"/>
      <c r="AJ15" s="478"/>
      <c r="AK15" s="478"/>
      <c r="AL15" s="478"/>
      <c r="AM15" s="478"/>
      <c r="AN15" s="478"/>
      <c r="AO15" s="478"/>
      <c r="AP15" s="478"/>
      <c r="AQ15" s="478"/>
      <c r="AR15" s="510" t="s">
        <v>104</v>
      </c>
      <c r="AS15" s="511">
        <v>-33164</v>
      </c>
      <c r="AT15" s="511">
        <v>37443.51999999996</v>
      </c>
      <c r="AU15" s="511">
        <v>48979.32640000002</v>
      </c>
      <c r="AV15" s="511">
        <v>61516.372048000019</v>
      </c>
      <c r="AW15" s="512">
        <f t="shared" ref="AW15:AW21" si="0">SUM(AS15:AV15)</f>
        <v>114775.218448</v>
      </c>
      <c r="AX15" s="631"/>
      <c r="AY15" s="631"/>
      <c r="AZ15" s="631"/>
      <c r="BA15" s="631"/>
      <c r="BB15" s="631"/>
      <c r="BC15" s="631"/>
      <c r="BD15" s="631"/>
      <c r="BE15" s="495"/>
    </row>
    <row r="16" spans="1:57" ht="18.5" x14ac:dyDescent="0.45">
      <c r="A16" s="643" t="s">
        <v>136</v>
      </c>
      <c r="B16" s="644"/>
      <c r="C16" s="352" t="s">
        <v>137</v>
      </c>
      <c r="D16" s="352" t="s">
        <v>138</v>
      </c>
      <c r="E16" s="347"/>
      <c r="F16" s="347"/>
      <c r="G16" s="326"/>
      <c r="H16" s="182"/>
      <c r="I16" s="182"/>
      <c r="J16" s="182"/>
      <c r="K16" s="182"/>
      <c r="L16" s="182"/>
      <c r="M16" s="182"/>
      <c r="N16" s="182"/>
      <c r="O16" s="182"/>
      <c r="P16" s="182"/>
      <c r="Q16" s="326"/>
      <c r="R16" s="184"/>
      <c r="S16" s="182"/>
      <c r="T16" s="182"/>
      <c r="U16" s="182"/>
      <c r="V16" s="182"/>
      <c r="W16" s="182"/>
      <c r="X16" s="182"/>
      <c r="Y16" s="182"/>
      <c r="Z16" s="182"/>
      <c r="AA16" s="182"/>
      <c r="AB16" s="325"/>
      <c r="AC16" s="478"/>
      <c r="AD16" s="478"/>
      <c r="AE16" s="478"/>
      <c r="AF16" s="478"/>
      <c r="AG16" s="478"/>
      <c r="AH16" s="478"/>
      <c r="AI16" s="478"/>
      <c r="AJ16" s="478"/>
      <c r="AK16" s="478"/>
      <c r="AL16" s="478"/>
      <c r="AM16" s="478"/>
      <c r="AN16" s="478"/>
      <c r="AO16" s="478"/>
      <c r="AP16" s="478"/>
      <c r="AQ16" s="478"/>
      <c r="AR16" s="510" t="s">
        <v>11</v>
      </c>
      <c r="AS16" s="511">
        <v>20020.04800000001</v>
      </c>
      <c r="AT16" s="511">
        <v>95190.447999999975</v>
      </c>
      <c r="AU16" s="511">
        <v>111608.53599999999</v>
      </c>
      <c r="AV16" s="511">
        <v>129369.62296000007</v>
      </c>
      <c r="AW16" s="512">
        <f t="shared" si="0"/>
        <v>356188.65496000007</v>
      </c>
      <c r="AX16" s="631"/>
      <c r="AY16" s="631"/>
      <c r="AZ16" s="631"/>
      <c r="BA16" s="631"/>
      <c r="BB16" s="631"/>
      <c r="BC16" s="631"/>
      <c r="BD16" s="631"/>
      <c r="BE16" s="495"/>
    </row>
    <row r="17" spans="1:57" ht="18.5" x14ac:dyDescent="0.45">
      <c r="A17" s="377" t="s">
        <v>139</v>
      </c>
      <c r="B17" s="375"/>
      <c r="C17" s="353" cm="1">
        <f t="array" ref="C17">SUMPRODUCT(D4:D11,B4:B11,C4:C11*10)</f>
        <v>161480</v>
      </c>
      <c r="D17" s="354" cm="1">
        <f t="array" ref="D17">SUMPRODUCT(F4:F11,B4:B11,E4:E11*10)</f>
        <v>164992</v>
      </c>
      <c r="E17" s="216"/>
      <c r="F17" s="216"/>
      <c r="G17" s="326"/>
      <c r="H17" s="182"/>
      <c r="I17" s="182"/>
      <c r="J17" s="182"/>
      <c r="K17" s="182"/>
      <c r="L17" s="182"/>
      <c r="M17" s="182"/>
      <c r="N17" s="182"/>
      <c r="O17" s="182"/>
      <c r="P17" s="182"/>
      <c r="Q17" s="326"/>
      <c r="R17" s="600"/>
      <c r="S17" s="182"/>
      <c r="T17" s="182"/>
      <c r="U17" s="182"/>
      <c r="V17" s="182"/>
      <c r="W17" s="182"/>
      <c r="X17" s="182"/>
      <c r="Y17" s="182"/>
      <c r="Z17" s="182"/>
      <c r="AA17" s="182"/>
      <c r="AB17" s="325"/>
      <c r="AC17" s="478"/>
      <c r="AD17" s="478"/>
      <c r="AE17" s="478"/>
      <c r="AF17" s="478"/>
      <c r="AG17" s="478"/>
      <c r="AH17" s="478"/>
      <c r="AI17" s="478"/>
      <c r="AJ17" s="478"/>
      <c r="AK17" s="478"/>
      <c r="AL17" s="478"/>
      <c r="AM17" s="478"/>
      <c r="AN17" s="478"/>
      <c r="AO17" s="478"/>
      <c r="AP17" s="478"/>
      <c r="AQ17" s="478"/>
      <c r="AR17" s="510" t="s">
        <v>105</v>
      </c>
      <c r="AS17" s="511">
        <v>33628</v>
      </c>
      <c r="AT17" s="511">
        <v>109939.12</v>
      </c>
      <c r="AU17" s="511">
        <v>127577.77840000007</v>
      </c>
      <c r="AV17" s="511">
        <v>146644.87568800006</v>
      </c>
      <c r="AW17" s="512">
        <f t="shared" si="0"/>
        <v>417789.77408800012</v>
      </c>
      <c r="AX17" s="631"/>
      <c r="AY17" s="631"/>
      <c r="AZ17" s="631"/>
      <c r="BA17" s="631"/>
      <c r="BB17" s="631"/>
      <c r="BC17" s="631"/>
      <c r="BD17" s="631"/>
      <c r="BE17" s="495"/>
    </row>
    <row r="18" spans="1:57" ht="19" thickBot="1" x14ac:dyDescent="0.5">
      <c r="A18" s="649" t="s">
        <v>140</v>
      </c>
      <c r="B18" s="409" t="s">
        <v>141</v>
      </c>
      <c r="C18" s="190">
        <v>66000</v>
      </c>
      <c r="D18" s="355">
        <v>66000</v>
      </c>
      <c r="E18" s="217"/>
      <c r="F18" s="217"/>
      <c r="G18" s="326"/>
      <c r="H18" s="182"/>
      <c r="I18" s="182"/>
      <c r="J18" s="182"/>
      <c r="K18" s="182"/>
      <c r="L18" s="182"/>
      <c r="M18" s="182"/>
      <c r="N18" s="182"/>
      <c r="O18" s="182"/>
      <c r="P18" s="182"/>
      <c r="Q18" s="326"/>
      <c r="R18" s="184"/>
      <c r="S18" s="182"/>
      <c r="T18" s="182"/>
      <c r="U18" s="182"/>
      <c r="V18" s="182"/>
      <c r="W18" s="182"/>
      <c r="X18" s="182"/>
      <c r="Y18" s="182"/>
      <c r="Z18" s="182"/>
      <c r="AA18" s="182"/>
      <c r="AB18" s="325"/>
      <c r="AC18" s="478"/>
      <c r="AD18" s="478"/>
      <c r="AE18" s="478"/>
      <c r="AF18" s="478"/>
      <c r="AG18" s="478"/>
      <c r="AH18" s="478"/>
      <c r="AI18" s="478"/>
      <c r="AJ18" s="478"/>
      <c r="AK18" s="478"/>
      <c r="AL18" s="478"/>
      <c r="AM18" s="478"/>
      <c r="AN18" s="478"/>
      <c r="AO18" s="478"/>
      <c r="AP18" s="478"/>
      <c r="AQ18" s="478"/>
      <c r="AR18" s="510" t="s">
        <v>106</v>
      </c>
      <c r="AS18" s="511">
        <v>49492</v>
      </c>
      <c r="AT18" s="511">
        <v>126943.83999999997</v>
      </c>
      <c r="AU18" s="511">
        <v>145803.06880000007</v>
      </c>
      <c r="AV18" s="511">
        <v>166176.17641600012</v>
      </c>
      <c r="AW18" s="512">
        <f t="shared" si="0"/>
        <v>488415.08521600015</v>
      </c>
      <c r="AX18" s="631"/>
      <c r="AY18" s="631"/>
      <c r="AZ18" s="631"/>
      <c r="BA18" s="631"/>
      <c r="BB18" s="631"/>
      <c r="BC18" s="631"/>
      <c r="BD18" s="631"/>
      <c r="BE18" s="495"/>
    </row>
    <row r="19" spans="1:57" ht="37.5" thickBot="1" x14ac:dyDescent="0.5">
      <c r="A19" s="650"/>
      <c r="B19" s="410" t="s">
        <v>142</v>
      </c>
      <c r="C19" s="190">
        <v>24000</v>
      </c>
      <c r="D19" s="355">
        <v>24000</v>
      </c>
      <c r="E19" s="217"/>
      <c r="F19" s="217"/>
      <c r="G19" s="326"/>
      <c r="H19" s="184"/>
      <c r="I19" s="182"/>
      <c r="J19" s="182"/>
      <c r="K19" s="182"/>
      <c r="L19" s="182"/>
      <c r="M19" s="182"/>
      <c r="N19" s="182"/>
      <c r="O19" s="182"/>
      <c r="P19" s="182"/>
      <c r="Q19" s="326"/>
      <c r="R19" s="426" t="s">
        <v>143</v>
      </c>
      <c r="S19" s="427" t="s">
        <v>144</v>
      </c>
      <c r="T19" s="428" t="s">
        <v>145</v>
      </c>
      <c r="U19" s="429" t="s">
        <v>146</v>
      </c>
      <c r="V19" s="182"/>
      <c r="W19" s="182"/>
      <c r="X19" s="182"/>
      <c r="Y19" s="182"/>
      <c r="Z19" s="182"/>
      <c r="AA19" s="182"/>
      <c r="AB19" s="325"/>
      <c r="AC19" s="478"/>
      <c r="AD19" s="478"/>
      <c r="AE19" s="478"/>
      <c r="AF19" s="478"/>
      <c r="AG19" s="478"/>
      <c r="AH19" s="478"/>
      <c r="AI19" s="478"/>
      <c r="AJ19" s="478"/>
      <c r="AK19" s="478"/>
      <c r="AL19" s="478"/>
      <c r="AM19" s="478"/>
      <c r="AN19" s="478"/>
      <c r="AO19" s="478"/>
      <c r="AP19" s="478"/>
      <c r="AQ19" s="478"/>
      <c r="AR19" s="513" t="s">
        <v>107</v>
      </c>
      <c r="AS19" s="511">
        <v>79204</v>
      </c>
      <c r="AT19" s="511">
        <v>158937.27999999997</v>
      </c>
      <c r="AU19" s="511">
        <v>180237.6496</v>
      </c>
      <c r="AV19" s="511">
        <v>203222.77787200006</v>
      </c>
      <c r="AW19" s="512">
        <f t="shared" si="0"/>
        <v>621601.70747200004</v>
      </c>
      <c r="AX19" s="631"/>
      <c r="AY19" s="631"/>
      <c r="AZ19" s="631"/>
      <c r="BA19" s="631"/>
      <c r="BB19" s="631"/>
      <c r="BC19" s="631"/>
      <c r="BD19" s="631"/>
      <c r="BE19" s="495"/>
    </row>
    <row r="20" spans="1:57" ht="37" x14ac:dyDescent="0.45">
      <c r="A20" s="650"/>
      <c r="B20" s="410" t="s">
        <v>147</v>
      </c>
      <c r="C20" s="190">
        <v>1200</v>
      </c>
      <c r="D20" s="355">
        <v>1200</v>
      </c>
      <c r="E20" s="217"/>
      <c r="F20" s="217"/>
      <c r="G20" s="326"/>
      <c r="H20" s="185"/>
      <c r="I20" s="182"/>
      <c r="J20" s="182"/>
      <c r="K20" s="182"/>
      <c r="L20" s="182"/>
      <c r="M20" s="182"/>
      <c r="N20" s="182"/>
      <c r="O20" s="182"/>
      <c r="P20" s="182"/>
      <c r="Q20" s="326"/>
      <c r="R20" s="430">
        <v>1</v>
      </c>
      <c r="S20" s="435" t="s">
        <v>50</v>
      </c>
      <c r="T20" s="425">
        <v>3</v>
      </c>
      <c r="U20" s="431">
        <v>0.5</v>
      </c>
      <c r="V20" s="182"/>
      <c r="W20" s="437" t="s">
        <v>148</v>
      </c>
      <c r="X20" s="438">
        <v>40864</v>
      </c>
      <c r="Y20" s="182"/>
      <c r="Z20" s="182"/>
      <c r="AA20" s="182"/>
      <c r="AB20" s="325"/>
      <c r="AC20" s="478"/>
      <c r="AD20" s="478"/>
      <c r="AE20" s="478"/>
      <c r="AF20" s="478"/>
      <c r="AG20" s="478"/>
      <c r="AH20" s="478"/>
      <c r="AI20" s="478"/>
      <c r="AJ20" s="478"/>
      <c r="AK20" s="478"/>
      <c r="AL20" s="478"/>
      <c r="AM20" s="478"/>
      <c r="AN20" s="478"/>
      <c r="AO20" s="478"/>
      <c r="AP20" s="478"/>
      <c r="AQ20" s="478"/>
      <c r="AR20" s="510" t="s">
        <v>108</v>
      </c>
      <c r="AS20" s="511">
        <v>91036</v>
      </c>
      <c r="AT20" s="511">
        <v>171909.99999999994</v>
      </c>
      <c r="AU20" s="511">
        <v>194430.94000000006</v>
      </c>
      <c r="AV20" s="511">
        <v>218722.07860000007</v>
      </c>
      <c r="AW20" s="512">
        <f t="shared" si="0"/>
        <v>676099.01860000007</v>
      </c>
      <c r="AX20" s="631"/>
      <c r="AY20" s="631"/>
      <c r="AZ20" s="631"/>
      <c r="BA20" s="631"/>
      <c r="BB20" s="631"/>
      <c r="BC20" s="631"/>
      <c r="BD20" s="631"/>
      <c r="BE20" s="495"/>
    </row>
    <row r="21" spans="1:57" ht="37.9" customHeight="1" x14ac:dyDescent="0.45">
      <c r="A21" s="650"/>
      <c r="B21" s="410" t="s">
        <v>149</v>
      </c>
      <c r="C21" s="190">
        <v>300</v>
      </c>
      <c r="D21" s="355">
        <v>300</v>
      </c>
      <c r="E21" s="217"/>
      <c r="F21" s="217"/>
      <c r="G21" s="326"/>
      <c r="H21" s="184"/>
      <c r="I21" s="182"/>
      <c r="J21" s="182"/>
      <c r="K21" s="182"/>
      <c r="L21" s="182"/>
      <c r="M21" s="182"/>
      <c r="N21" s="182"/>
      <c r="O21" s="182"/>
      <c r="P21" s="182"/>
      <c r="Q21" s="326"/>
      <c r="R21" s="430">
        <v>2</v>
      </c>
      <c r="S21" s="435" t="s">
        <v>52</v>
      </c>
      <c r="T21" s="425">
        <v>5</v>
      </c>
      <c r="U21" s="431">
        <v>0.8</v>
      </c>
      <c r="V21" s="182"/>
      <c r="W21" s="439" t="s">
        <v>150</v>
      </c>
      <c r="X21" s="440">
        <v>7280</v>
      </c>
      <c r="Y21" s="182"/>
      <c r="Z21" s="182"/>
      <c r="AA21" s="182"/>
      <c r="AB21" s="325"/>
      <c r="AC21" s="478"/>
      <c r="AD21" s="478"/>
      <c r="AE21" s="478"/>
      <c r="AF21" s="478"/>
      <c r="AG21" s="478"/>
      <c r="AH21" s="478"/>
      <c r="AI21" s="478"/>
      <c r="AJ21" s="478"/>
      <c r="AK21" s="478"/>
      <c r="AL21" s="478"/>
      <c r="AM21" s="478"/>
      <c r="AN21" s="478"/>
      <c r="AO21" s="478"/>
      <c r="AP21" s="478"/>
      <c r="AQ21" s="478"/>
      <c r="AR21" s="510" t="s">
        <v>109</v>
      </c>
      <c r="AS21" s="511">
        <v>99412</v>
      </c>
      <c r="AT21" s="511">
        <v>181426.71999999997</v>
      </c>
      <c r="AU21" s="511">
        <v>205168.23040000006</v>
      </c>
      <c r="AV21" s="511">
        <v>230765.37932800007</v>
      </c>
      <c r="AW21" s="512">
        <f t="shared" si="0"/>
        <v>716772.3297280001</v>
      </c>
      <c r="AX21" s="631"/>
      <c r="AY21" s="631"/>
      <c r="AZ21" s="631"/>
      <c r="BA21" s="631"/>
      <c r="BB21" s="631"/>
      <c r="BC21" s="631"/>
      <c r="BD21" s="631"/>
      <c r="BE21" s="495"/>
    </row>
    <row r="22" spans="1:57" ht="18.649999999999999" customHeight="1" thickBot="1" x14ac:dyDescent="0.5">
      <c r="A22" s="650"/>
      <c r="B22" s="409" t="s">
        <v>80</v>
      </c>
      <c r="C22" s="190">
        <v>2400</v>
      </c>
      <c r="D22" s="355">
        <v>2400</v>
      </c>
      <c r="E22" s="217"/>
      <c r="F22" s="217"/>
      <c r="G22" s="326"/>
      <c r="H22" s="182"/>
      <c r="I22" s="182"/>
      <c r="J22" s="182"/>
      <c r="K22" s="182"/>
      <c r="L22" s="182"/>
      <c r="M22" s="182"/>
      <c r="N22" s="182"/>
      <c r="O22" s="182"/>
      <c r="P22" s="182"/>
      <c r="Q22" s="326"/>
      <c r="R22" s="430">
        <v>3</v>
      </c>
      <c r="S22" s="435" t="s">
        <v>54</v>
      </c>
      <c r="T22" s="425">
        <v>2</v>
      </c>
      <c r="U22" s="431">
        <v>0.35</v>
      </c>
      <c r="V22" s="182"/>
      <c r="W22" s="441" t="s">
        <v>151</v>
      </c>
      <c r="X22" s="442">
        <v>15900</v>
      </c>
      <c r="Y22" s="182"/>
      <c r="Z22" s="182"/>
      <c r="AA22" s="182"/>
      <c r="AB22" s="325"/>
      <c r="AC22" s="478"/>
      <c r="AD22" s="478"/>
      <c r="AE22" s="478"/>
      <c r="AF22" s="478"/>
      <c r="AG22" s="478"/>
      <c r="AH22" s="478"/>
      <c r="AI22" s="478"/>
      <c r="AJ22" s="478"/>
      <c r="AK22" s="478"/>
      <c r="AL22" s="478"/>
      <c r="AM22" s="478"/>
      <c r="AN22" s="478"/>
      <c r="AO22" s="478"/>
      <c r="AP22" s="478"/>
      <c r="AQ22" s="478"/>
      <c r="AR22" s="494"/>
      <c r="AS22" s="631"/>
      <c r="AT22" s="631"/>
      <c r="AU22" s="631"/>
      <c r="AV22" s="631"/>
      <c r="AW22" s="631"/>
      <c r="AX22" s="631"/>
      <c r="AY22" s="631"/>
      <c r="AZ22" s="631"/>
      <c r="BA22" s="631"/>
      <c r="BB22" s="631"/>
      <c r="BC22" s="631"/>
      <c r="BD22" s="631"/>
      <c r="BE22" s="495"/>
    </row>
    <row r="23" spans="1:57" ht="37.5" thickBot="1" x14ac:dyDescent="0.5">
      <c r="A23" s="651"/>
      <c r="B23" s="409" t="s">
        <v>81</v>
      </c>
      <c r="C23" s="190">
        <v>1500</v>
      </c>
      <c r="D23" s="355">
        <v>1500</v>
      </c>
      <c r="E23" s="217"/>
      <c r="F23" s="217"/>
      <c r="G23" s="326"/>
      <c r="H23" s="382" t="s">
        <v>143</v>
      </c>
      <c r="I23" s="383" t="s">
        <v>144</v>
      </c>
      <c r="J23" s="384" t="s">
        <v>152</v>
      </c>
      <c r="K23" s="385" t="s">
        <v>153</v>
      </c>
      <c r="L23" s="384" t="s">
        <v>154</v>
      </c>
      <c r="M23" s="383" t="s">
        <v>155</v>
      </c>
      <c r="N23" s="386" t="s">
        <v>156</v>
      </c>
      <c r="O23" s="182"/>
      <c r="P23" s="182"/>
      <c r="Q23" s="326"/>
      <c r="R23" s="430">
        <v>4</v>
      </c>
      <c r="S23" s="435" t="s">
        <v>41</v>
      </c>
      <c r="T23" s="425">
        <v>1</v>
      </c>
      <c r="U23" s="431">
        <v>0.5</v>
      </c>
      <c r="V23" s="182"/>
      <c r="W23" s="443" t="s">
        <v>157</v>
      </c>
      <c r="X23" s="444">
        <v>17684</v>
      </c>
      <c r="Y23" s="182"/>
      <c r="Z23" s="182"/>
      <c r="AA23" s="182"/>
      <c r="AB23" s="325"/>
      <c r="AC23" s="478"/>
      <c r="AD23" s="478"/>
      <c r="AE23" s="478"/>
      <c r="AF23" s="478"/>
      <c r="AG23" s="478"/>
      <c r="AH23" s="478"/>
      <c r="AI23" s="478"/>
      <c r="AJ23" s="478"/>
      <c r="AK23" s="478"/>
      <c r="AL23" s="478"/>
      <c r="AM23" s="478"/>
      <c r="AN23" s="478"/>
      <c r="AO23" s="478"/>
      <c r="AP23" s="478"/>
      <c r="AQ23" s="478"/>
      <c r="AR23" s="676" t="s">
        <v>158</v>
      </c>
      <c r="AS23" s="677"/>
      <c r="AT23" s="677"/>
      <c r="AU23" s="677"/>
      <c r="AV23" s="677"/>
      <c r="AW23" s="631"/>
      <c r="AX23" s="631"/>
      <c r="AY23" s="631"/>
      <c r="AZ23" s="631"/>
      <c r="BA23" s="631"/>
      <c r="BB23" s="631"/>
      <c r="BC23" s="631"/>
      <c r="BD23" s="631"/>
      <c r="BE23" s="495"/>
    </row>
    <row r="24" spans="1:57" ht="18.5" x14ac:dyDescent="0.45">
      <c r="A24" s="378" t="s">
        <v>159</v>
      </c>
      <c r="B24" s="376">
        <v>35</v>
      </c>
      <c r="C24" s="190">
        <f>B24*8*D12</f>
        <v>30240</v>
      </c>
      <c r="D24" s="355">
        <f>B24*8*F12</f>
        <v>27160</v>
      </c>
      <c r="E24" s="217"/>
      <c r="F24" s="217"/>
      <c r="G24" s="326"/>
      <c r="H24" s="399">
        <v>1</v>
      </c>
      <c r="I24" s="402" t="s">
        <v>50</v>
      </c>
      <c r="J24" s="387">
        <v>260</v>
      </c>
      <c r="K24" s="388">
        <v>0.54</v>
      </c>
      <c r="L24" s="395">
        <v>261</v>
      </c>
      <c r="M24" s="389">
        <v>0.60702923976608181</v>
      </c>
      <c r="N24" s="390">
        <f>(L24-J24)/J24</f>
        <v>3.8461538461538464E-3</v>
      </c>
      <c r="O24" s="182"/>
      <c r="P24" s="182"/>
      <c r="Q24" s="326"/>
      <c r="R24" s="430">
        <v>5</v>
      </c>
      <c r="S24" s="435" t="s">
        <v>43</v>
      </c>
      <c r="T24" s="425">
        <v>3</v>
      </c>
      <c r="U24" s="431">
        <v>0.8</v>
      </c>
      <c r="V24" s="182"/>
      <c r="W24" s="182"/>
      <c r="X24" s="182"/>
      <c r="Y24" s="182"/>
      <c r="Z24" s="182"/>
      <c r="AA24" s="182"/>
      <c r="AB24" s="325"/>
      <c r="AC24" s="478"/>
      <c r="AD24" s="678" t="s">
        <v>160</v>
      </c>
      <c r="AE24" s="678"/>
      <c r="AF24" s="678"/>
      <c r="AG24" s="678"/>
      <c r="AH24" s="478"/>
      <c r="AI24" s="478"/>
      <c r="AJ24" s="478"/>
      <c r="AK24" s="478"/>
      <c r="AL24" s="478"/>
      <c r="AM24" s="478"/>
      <c r="AN24" s="478"/>
      <c r="AO24" s="478"/>
      <c r="AP24" s="478"/>
      <c r="AQ24" s="478"/>
      <c r="AR24" s="676"/>
      <c r="AS24" s="677"/>
      <c r="AT24" s="677"/>
      <c r="AU24" s="677"/>
      <c r="AV24" s="677"/>
      <c r="AW24" s="631"/>
      <c r="AX24" s="631"/>
      <c r="AY24" s="631"/>
      <c r="AZ24" s="631"/>
      <c r="BA24" s="631"/>
      <c r="BB24" s="631"/>
      <c r="BC24" s="631"/>
      <c r="BD24" s="631"/>
      <c r="BE24" s="495"/>
    </row>
    <row r="25" spans="1:57" ht="21.65" customHeight="1" thickBot="1" x14ac:dyDescent="0.5">
      <c r="A25" s="359" t="s">
        <v>161</v>
      </c>
      <c r="B25" s="356"/>
      <c r="C25" s="357">
        <f>C17-C18-C19-C20-C21-C22-C23-C24</f>
        <v>35840</v>
      </c>
      <c r="D25" s="358">
        <f>D17-D18-D19-D20-D21-D22-D23-D24</f>
        <v>42432</v>
      </c>
      <c r="E25" s="217"/>
      <c r="F25" s="217"/>
      <c r="G25" s="326"/>
      <c r="H25" s="400">
        <v>2</v>
      </c>
      <c r="I25" s="402" t="s">
        <v>52</v>
      </c>
      <c r="J25" s="387">
        <v>260</v>
      </c>
      <c r="K25" s="388">
        <v>0.55000000000000004</v>
      </c>
      <c r="L25" s="395">
        <v>265</v>
      </c>
      <c r="M25" s="389">
        <v>0.53000000000000014</v>
      </c>
      <c r="N25" s="390">
        <f t="shared" ref="N25:N31" si="1">(L25-J25)/J25</f>
        <v>1.9230769230769232E-2</v>
      </c>
      <c r="O25" s="182"/>
      <c r="P25" s="182"/>
      <c r="Q25" s="326"/>
      <c r="R25" s="430">
        <v>6</v>
      </c>
      <c r="S25" s="435" t="s">
        <v>46</v>
      </c>
      <c r="T25" s="425">
        <v>2</v>
      </c>
      <c r="U25" s="431">
        <v>0.35</v>
      </c>
      <c r="V25" s="182"/>
      <c r="W25" s="182"/>
      <c r="X25" s="182"/>
      <c r="Y25" s="182"/>
      <c r="Z25" s="182"/>
      <c r="AA25" s="182"/>
      <c r="AB25" s="325"/>
      <c r="AC25" s="478"/>
      <c r="AD25" s="679"/>
      <c r="AE25" s="679"/>
      <c r="AF25" s="679"/>
      <c r="AG25" s="679"/>
      <c r="AH25" s="478"/>
      <c r="AI25" s="490">
        <v>0</v>
      </c>
      <c r="AJ25" s="478"/>
      <c r="AK25" s="478"/>
      <c r="AL25" s="478"/>
      <c r="AM25" s="478"/>
      <c r="AN25" s="478"/>
      <c r="AO25" s="478"/>
      <c r="AP25" s="478"/>
      <c r="AQ25" s="478"/>
      <c r="AR25" s="494"/>
      <c r="AS25" s="631"/>
      <c r="AT25" s="631"/>
      <c r="AU25" s="631"/>
      <c r="AV25" s="631"/>
      <c r="AW25" s="631"/>
      <c r="AX25" s="631"/>
      <c r="AY25" s="631"/>
      <c r="AZ25" s="631"/>
      <c r="BA25" s="631"/>
      <c r="BB25" s="631"/>
      <c r="BC25" s="631"/>
      <c r="BD25" s="631"/>
      <c r="BE25" s="495"/>
    </row>
    <row r="26" spans="1:57" ht="19" thickBot="1" x14ac:dyDescent="0.5">
      <c r="A26" s="348"/>
      <c r="B26" s="349"/>
      <c r="C26" s="349"/>
      <c r="D26" s="349"/>
      <c r="E26" s="349"/>
      <c r="F26" s="349"/>
      <c r="G26" s="326"/>
      <c r="H26" s="400">
        <v>3</v>
      </c>
      <c r="I26" s="402" t="s">
        <v>54</v>
      </c>
      <c r="J26" s="387">
        <v>260</v>
      </c>
      <c r="K26" s="388">
        <v>0.55000000000000004</v>
      </c>
      <c r="L26" s="395">
        <v>214</v>
      </c>
      <c r="M26" s="389">
        <v>1</v>
      </c>
      <c r="N26" s="390">
        <f t="shared" si="1"/>
        <v>-0.17692307692307693</v>
      </c>
      <c r="O26" s="182"/>
      <c r="P26" s="182"/>
      <c r="Q26" s="326"/>
      <c r="R26" s="430">
        <v>7</v>
      </c>
      <c r="S26" s="435" t="s">
        <v>48</v>
      </c>
      <c r="T26" s="425">
        <v>9</v>
      </c>
      <c r="U26" s="431">
        <v>0.66</v>
      </c>
      <c r="V26" s="182"/>
      <c r="W26" s="182"/>
      <c r="X26" s="182"/>
      <c r="Y26" s="182"/>
      <c r="Z26" s="182"/>
      <c r="AA26" s="182"/>
      <c r="AB26" s="325"/>
      <c r="AC26" s="478"/>
      <c r="AD26" s="482" t="s">
        <v>162</v>
      </c>
      <c r="AE26" s="514">
        <v>125</v>
      </c>
      <c r="AF26" s="515"/>
      <c r="AG26" s="516"/>
      <c r="AH26" s="478"/>
      <c r="AI26" s="490">
        <v>0.1</v>
      </c>
      <c r="AJ26" s="478"/>
      <c r="AK26" s="478"/>
      <c r="AL26" s="478"/>
      <c r="AM26" s="478"/>
      <c r="AN26" s="478"/>
      <c r="AO26" s="478"/>
      <c r="AP26" s="478"/>
      <c r="AQ26" s="478"/>
      <c r="AR26" s="494"/>
      <c r="AS26" s="631"/>
      <c r="AT26" s="631"/>
      <c r="AU26" s="631"/>
      <c r="AV26" s="631"/>
      <c r="AW26" s="631"/>
      <c r="AX26" s="631"/>
      <c r="AY26" s="631"/>
      <c r="AZ26" s="631"/>
      <c r="BA26" s="631"/>
      <c r="BB26" s="631"/>
      <c r="BC26" s="631"/>
      <c r="BD26" s="631"/>
      <c r="BE26" s="495"/>
    </row>
    <row r="27" spans="1:57" ht="19" thickBot="1" x14ac:dyDescent="0.5">
      <c r="A27" s="350"/>
      <c r="B27" s="351"/>
      <c r="C27" s="351"/>
      <c r="D27" s="351"/>
      <c r="E27" s="351"/>
      <c r="F27" s="351"/>
      <c r="G27" s="326"/>
      <c r="H27" s="400">
        <v>4</v>
      </c>
      <c r="I27" s="402" t="s">
        <v>41</v>
      </c>
      <c r="J27" s="387">
        <v>260</v>
      </c>
      <c r="K27" s="388">
        <v>0.71</v>
      </c>
      <c r="L27" s="395">
        <v>211</v>
      </c>
      <c r="M27" s="389">
        <v>0.9958022130013835</v>
      </c>
      <c r="N27" s="390">
        <f t="shared" si="1"/>
        <v>-0.18846153846153846</v>
      </c>
      <c r="O27" s="182"/>
      <c r="P27" s="182"/>
      <c r="Q27" s="326"/>
      <c r="R27" s="432">
        <v>8</v>
      </c>
      <c r="S27" s="436" t="s">
        <v>56</v>
      </c>
      <c r="T27" s="433">
        <v>1</v>
      </c>
      <c r="U27" s="434">
        <v>0.5</v>
      </c>
      <c r="V27" s="182"/>
      <c r="W27" s="182"/>
      <c r="X27" s="182"/>
      <c r="Y27" s="182"/>
      <c r="Z27" s="182"/>
      <c r="AA27" s="182"/>
      <c r="AB27" s="325"/>
      <c r="AC27" s="478"/>
      <c r="AD27" s="483"/>
      <c r="AE27" s="486" t="s">
        <v>163</v>
      </c>
      <c r="AF27" s="487" t="s">
        <v>164</v>
      </c>
      <c r="AG27" s="487" t="s">
        <v>165</v>
      </c>
      <c r="AH27" s="478"/>
      <c r="AI27" s="490">
        <v>0.2</v>
      </c>
      <c r="AJ27" s="478"/>
      <c r="AK27" s="478"/>
      <c r="AL27" s="478"/>
      <c r="AM27" s="478"/>
      <c r="AN27" s="478"/>
      <c r="AO27" s="478"/>
      <c r="AP27" s="478"/>
      <c r="AQ27" s="478"/>
      <c r="AR27" s="494"/>
      <c r="AS27" s="631"/>
      <c r="AT27" s="631"/>
      <c r="AU27" s="631"/>
      <c r="AV27" s="631"/>
      <c r="AW27" s="631"/>
      <c r="AX27" s="631"/>
      <c r="AY27" s="631"/>
      <c r="AZ27" s="631"/>
      <c r="BA27" s="631"/>
      <c r="BB27" s="631"/>
      <c r="BC27" s="631"/>
      <c r="BD27" s="631"/>
      <c r="BE27" s="495"/>
    </row>
    <row r="28" spans="1:57" ht="19.899999999999999" customHeight="1" x14ac:dyDescent="0.5">
      <c r="A28" s="72"/>
      <c r="G28" s="326"/>
      <c r="H28" s="400">
        <v>5</v>
      </c>
      <c r="I28" s="402" t="s">
        <v>43</v>
      </c>
      <c r="J28" s="387">
        <v>260</v>
      </c>
      <c r="K28" s="388">
        <v>0.33</v>
      </c>
      <c r="L28" s="395">
        <v>300</v>
      </c>
      <c r="M28" s="389">
        <v>0.49112033195020749</v>
      </c>
      <c r="N28" s="390">
        <f t="shared" si="1"/>
        <v>0.15384615384615385</v>
      </c>
      <c r="O28" s="182"/>
      <c r="P28" s="182"/>
      <c r="Q28" s="326"/>
      <c r="R28" s="182"/>
      <c r="S28" s="182"/>
      <c r="T28" s="601">
        <f>SUM(T20:T27)</f>
        <v>26</v>
      </c>
      <c r="U28" s="182"/>
      <c r="V28" s="182"/>
      <c r="W28" s="182"/>
      <c r="X28" s="182"/>
      <c r="Y28" s="182"/>
      <c r="Z28" s="182"/>
      <c r="AA28" s="182"/>
      <c r="AB28" s="325"/>
      <c r="AC28" s="478"/>
      <c r="AD28" s="484" t="s">
        <v>166</v>
      </c>
      <c r="AE28" s="517">
        <f>AG3</f>
        <v>7.9394559006364327</v>
      </c>
      <c r="AF28" s="517">
        <f t="shared" ref="AF28:AG28" si="2">AH3</f>
        <v>1.0545588091309543</v>
      </c>
      <c r="AG28" s="489">
        <f t="shared" si="2"/>
        <v>12.649430740135118</v>
      </c>
      <c r="AH28" s="478"/>
      <c r="AI28" s="490">
        <v>0.3</v>
      </c>
      <c r="AJ28" s="478"/>
      <c r="AK28" s="478"/>
      <c r="AL28" s="478"/>
      <c r="AM28" s="478"/>
      <c r="AN28" s="478"/>
      <c r="AO28" s="478"/>
      <c r="AP28" s="478"/>
      <c r="AQ28" s="478"/>
      <c r="AR28" s="494"/>
      <c r="AS28" s="631"/>
      <c r="AT28" s="631"/>
      <c r="AU28" s="631"/>
      <c r="AV28" s="631"/>
      <c r="AW28" s="631"/>
      <c r="AX28" s="631"/>
      <c r="AY28" s="631"/>
      <c r="AZ28" s="631"/>
      <c r="BA28" s="631"/>
      <c r="BB28" s="631"/>
      <c r="BC28" s="631"/>
      <c r="BD28" s="631"/>
      <c r="BE28" s="495"/>
    </row>
    <row r="29" spans="1:57" ht="18.5" x14ac:dyDescent="0.45">
      <c r="A29" s="68"/>
      <c r="G29" s="326"/>
      <c r="H29" s="400">
        <v>6</v>
      </c>
      <c r="I29" s="402" t="s">
        <v>46</v>
      </c>
      <c r="J29" s="387">
        <v>260</v>
      </c>
      <c r="K29" s="388">
        <v>0.5</v>
      </c>
      <c r="L29" s="395">
        <v>300</v>
      </c>
      <c r="M29" s="389">
        <v>0.49112033195020749</v>
      </c>
      <c r="N29" s="390">
        <f t="shared" si="1"/>
        <v>0.15384615384615385</v>
      </c>
      <c r="O29" s="182"/>
      <c r="P29" s="182"/>
      <c r="Q29" s="326"/>
      <c r="R29" s="182"/>
      <c r="S29" s="182"/>
      <c r="T29" s="182"/>
      <c r="U29" s="182"/>
      <c r="V29" s="182"/>
      <c r="W29" s="182"/>
      <c r="X29" s="182"/>
      <c r="Y29" s="182"/>
      <c r="Z29" s="182"/>
      <c r="AA29" s="182"/>
      <c r="AB29" s="325"/>
      <c r="AC29" s="478"/>
      <c r="AD29" s="484" t="s">
        <v>167</v>
      </c>
      <c r="AE29" s="518">
        <v>2762</v>
      </c>
      <c r="AF29" s="521">
        <v>2191.1199833789783</v>
      </c>
      <c r="AG29" s="480">
        <v>4637.622255901103</v>
      </c>
      <c r="AH29" s="478"/>
      <c r="AI29" s="490">
        <v>0.4</v>
      </c>
      <c r="AJ29" s="478"/>
      <c r="AK29" s="478"/>
      <c r="AL29" s="478"/>
      <c r="AM29" s="478"/>
      <c r="AN29" s="478"/>
      <c r="AO29" s="478"/>
      <c r="AP29" s="478"/>
      <c r="AQ29" s="478"/>
      <c r="AR29" s="494"/>
      <c r="AS29" s="631"/>
      <c r="AT29" s="631"/>
      <c r="AU29" s="631"/>
      <c r="AV29" s="631"/>
      <c r="AW29" s="631"/>
      <c r="AX29" s="631"/>
      <c r="AY29" s="631"/>
      <c r="AZ29" s="631"/>
      <c r="BA29" s="631"/>
      <c r="BB29" s="631"/>
      <c r="BC29" s="631"/>
      <c r="BD29" s="631"/>
      <c r="BE29" s="495"/>
    </row>
    <row r="30" spans="1:57" ht="18.5" x14ac:dyDescent="0.45">
      <c r="G30" s="326"/>
      <c r="H30" s="400">
        <v>7</v>
      </c>
      <c r="I30" s="402" t="s">
        <v>48</v>
      </c>
      <c r="J30" s="387">
        <v>260</v>
      </c>
      <c r="K30" s="388">
        <v>0.5</v>
      </c>
      <c r="L30" s="395">
        <v>207</v>
      </c>
      <c r="M30" s="389">
        <v>0.82126556016597496</v>
      </c>
      <c r="N30" s="390">
        <f t="shared" si="1"/>
        <v>-0.20384615384615384</v>
      </c>
      <c r="O30" s="182"/>
      <c r="P30" s="182"/>
      <c r="Q30" s="326"/>
      <c r="R30" s="184"/>
      <c r="S30" s="182"/>
      <c r="T30" s="182"/>
      <c r="U30" s="182"/>
      <c r="V30" s="182"/>
      <c r="W30" s="182"/>
      <c r="X30" s="182"/>
      <c r="Y30" s="182"/>
      <c r="Z30" s="182"/>
      <c r="AA30" s="182"/>
      <c r="AB30" s="325"/>
      <c r="AC30" s="478"/>
      <c r="AD30" s="484" t="s">
        <v>168</v>
      </c>
      <c r="AE30" s="519">
        <v>0.1</v>
      </c>
      <c r="AF30" s="519">
        <v>0.8</v>
      </c>
      <c r="AG30" s="488">
        <v>0.1</v>
      </c>
      <c r="AH30" s="478"/>
      <c r="AI30" s="490">
        <v>0.5</v>
      </c>
      <c r="AJ30" s="478"/>
      <c r="AK30" s="478"/>
      <c r="AL30" s="478"/>
      <c r="AM30" s="478"/>
      <c r="AN30" s="478"/>
      <c r="AO30" s="478"/>
      <c r="AP30" s="478"/>
      <c r="AQ30" s="478"/>
      <c r="AR30" s="494"/>
      <c r="AS30" s="631"/>
      <c r="AT30" s="631"/>
      <c r="AU30" s="631"/>
      <c r="AV30" s="631"/>
      <c r="AW30" s="631"/>
      <c r="AX30" s="631"/>
      <c r="AY30" s="631"/>
      <c r="AZ30" s="631"/>
      <c r="BA30" s="631"/>
      <c r="BB30" s="631"/>
      <c r="BC30" s="631"/>
      <c r="BD30" s="631"/>
      <c r="BE30" s="495"/>
    </row>
    <row r="31" spans="1:57" ht="19" thickBot="1" x14ac:dyDescent="0.5">
      <c r="G31" s="326"/>
      <c r="H31" s="401">
        <v>8</v>
      </c>
      <c r="I31" s="403" t="s">
        <v>56</v>
      </c>
      <c r="J31" s="391">
        <v>180</v>
      </c>
      <c r="K31" s="392">
        <v>0.62</v>
      </c>
      <c r="L31" s="396">
        <v>205</v>
      </c>
      <c r="M31" s="393">
        <v>0.54666666666666663</v>
      </c>
      <c r="N31" s="394">
        <f t="shared" si="1"/>
        <v>0.1388888888888889</v>
      </c>
      <c r="O31" s="182"/>
      <c r="P31" s="182"/>
      <c r="Q31" s="326"/>
      <c r="R31" s="184"/>
      <c r="S31" s="182"/>
      <c r="T31" s="182"/>
      <c r="U31" s="182"/>
      <c r="V31" s="182"/>
      <c r="W31" s="182"/>
      <c r="X31" s="182"/>
      <c r="Y31" s="182"/>
      <c r="Z31" s="182"/>
      <c r="AA31" s="182"/>
      <c r="AB31" s="325"/>
      <c r="AC31" s="478"/>
      <c r="AD31" s="484" t="s">
        <v>169</v>
      </c>
      <c r="AE31" s="520">
        <f>$AE$26*AE$30</f>
        <v>12.5</v>
      </c>
      <c r="AF31" s="520">
        <f t="shared" ref="AF31:AG31" si="3">$AE$26*AF$30</f>
        <v>100</v>
      </c>
      <c r="AG31" s="479">
        <f t="shared" si="3"/>
        <v>12.5</v>
      </c>
      <c r="AH31" s="478"/>
      <c r="AI31" s="490">
        <v>0.6</v>
      </c>
      <c r="AJ31" s="478"/>
      <c r="AK31" s="478"/>
      <c r="AL31" s="478"/>
      <c r="AM31" s="478"/>
      <c r="AN31" s="478"/>
      <c r="AO31" s="478"/>
      <c r="AP31" s="478"/>
      <c r="AQ31" s="478"/>
      <c r="AR31" s="494"/>
      <c r="AS31" s="631"/>
      <c r="AT31" s="631"/>
      <c r="AU31" s="631"/>
      <c r="AV31" s="631"/>
      <c r="AW31" s="631"/>
      <c r="AX31" s="631"/>
      <c r="AY31" s="631"/>
      <c r="AZ31" s="631"/>
      <c r="BA31" s="631"/>
      <c r="BB31" s="631"/>
      <c r="BC31" s="631"/>
      <c r="BD31" s="631"/>
      <c r="BE31" s="495"/>
    </row>
    <row r="32" spans="1:57" ht="14.5" x14ac:dyDescent="0.35">
      <c r="G32" s="326"/>
      <c r="H32" s="182"/>
      <c r="I32" s="182"/>
      <c r="J32" s="182"/>
      <c r="K32" s="182"/>
      <c r="L32" s="182"/>
      <c r="M32" s="182"/>
      <c r="N32" s="182"/>
      <c r="O32" s="182"/>
      <c r="P32" s="182"/>
      <c r="Q32" s="326"/>
      <c r="R32" s="182"/>
      <c r="S32" s="182"/>
      <c r="T32" s="182"/>
      <c r="U32" s="182"/>
      <c r="V32" s="182"/>
      <c r="W32" s="182"/>
      <c r="X32" s="182"/>
      <c r="Y32" s="182"/>
      <c r="Z32" s="182"/>
      <c r="AA32" s="182"/>
      <c r="AB32" s="325"/>
      <c r="AC32" s="478"/>
      <c r="AD32" s="484" t="s">
        <v>170</v>
      </c>
      <c r="AE32" s="521">
        <f>AE31/AE28</f>
        <v>1.5744151937411719</v>
      </c>
      <c r="AF32" s="521">
        <f>AF31/AF28</f>
        <v>94.826385341570912</v>
      </c>
      <c r="AG32" s="480">
        <f>AG31/AG28</f>
        <v>0.98818676166501374</v>
      </c>
      <c r="AH32" s="478"/>
      <c r="AI32" s="490">
        <v>0.7</v>
      </c>
      <c r="AJ32" s="478"/>
      <c r="AK32" s="478"/>
      <c r="AL32" s="478"/>
      <c r="AM32" s="478"/>
      <c r="AN32" s="478"/>
      <c r="AO32" s="478"/>
      <c r="AP32" s="478"/>
      <c r="AQ32" s="478"/>
      <c r="AR32" s="494"/>
      <c r="AS32" s="631"/>
      <c r="AT32" s="631"/>
      <c r="AU32" s="631"/>
      <c r="AV32" s="631"/>
      <c r="AW32" s="631"/>
      <c r="AX32" s="631"/>
      <c r="AY32" s="631"/>
      <c r="AZ32" s="631"/>
      <c r="BA32" s="631"/>
      <c r="BB32" s="631"/>
      <c r="BC32" s="631"/>
      <c r="BD32" s="631"/>
      <c r="BE32" s="495"/>
    </row>
    <row r="33" spans="7:57" ht="19" thickBot="1" x14ac:dyDescent="0.5">
      <c r="G33" s="326"/>
      <c r="H33" s="182"/>
      <c r="I33" s="182"/>
      <c r="J33" s="182"/>
      <c r="K33" s="182"/>
      <c r="L33" s="182"/>
      <c r="M33" s="182"/>
      <c r="N33" s="182"/>
      <c r="O33" s="182"/>
      <c r="P33" s="182"/>
      <c r="Q33" s="326"/>
      <c r="R33" s="184"/>
      <c r="S33" s="182"/>
      <c r="T33" s="182"/>
      <c r="U33" s="182"/>
      <c r="V33" s="182"/>
      <c r="W33" s="182"/>
      <c r="X33" s="182"/>
      <c r="Y33" s="182"/>
      <c r="Z33" s="182"/>
      <c r="AA33" s="182"/>
      <c r="AB33" s="325"/>
      <c r="AC33" s="478"/>
      <c r="AD33" s="484" t="s">
        <v>171</v>
      </c>
      <c r="AE33" s="520">
        <f>AE32*240</f>
        <v>377.85964649788127</v>
      </c>
      <c r="AF33" s="520">
        <f>AF32*240</f>
        <v>22758.332481977021</v>
      </c>
      <c r="AG33" s="479">
        <f>AG32*240</f>
        <v>237.16482279960329</v>
      </c>
      <c r="AH33" s="478"/>
      <c r="AI33" s="490">
        <v>0.8</v>
      </c>
      <c r="AJ33" s="478"/>
      <c r="AK33" s="478"/>
      <c r="AL33" s="478"/>
      <c r="AM33" s="478"/>
      <c r="AN33" s="478"/>
      <c r="AO33" s="478"/>
      <c r="AP33" s="478"/>
      <c r="AQ33" s="478"/>
      <c r="AR33" s="494"/>
      <c r="AS33" s="631"/>
      <c r="AT33" s="631"/>
      <c r="AU33" s="631"/>
      <c r="AV33" s="631"/>
      <c r="AW33" s="631"/>
      <c r="AX33" s="631"/>
      <c r="AY33" s="631"/>
      <c r="AZ33" s="631"/>
      <c r="BA33" s="631"/>
      <c r="BB33" s="631"/>
      <c r="BC33" s="631"/>
      <c r="BD33" s="631"/>
      <c r="BE33" s="495"/>
    </row>
    <row r="34" spans="7:57" ht="19" thickBot="1" x14ac:dyDescent="0.5">
      <c r="G34" s="326"/>
      <c r="H34" s="182"/>
      <c r="I34" s="408"/>
      <c r="J34" s="405" t="s">
        <v>161</v>
      </c>
      <c r="K34" s="182"/>
      <c r="L34" s="182"/>
      <c r="M34" s="182"/>
      <c r="N34" s="182"/>
      <c r="O34" s="182"/>
      <c r="P34" s="182"/>
      <c r="Q34" s="326"/>
      <c r="R34" s="637" t="s">
        <v>172</v>
      </c>
      <c r="S34" s="638"/>
      <c r="T34" s="638"/>
      <c r="U34" s="638"/>
      <c r="V34" s="638"/>
      <c r="W34" s="638"/>
      <c r="X34" s="638"/>
      <c r="Y34" s="638"/>
      <c r="Z34" s="639"/>
      <c r="AA34" s="182"/>
      <c r="AB34" s="325"/>
      <c r="AC34" s="478"/>
      <c r="AD34" s="485" t="s">
        <v>173</v>
      </c>
      <c r="AE34" s="522">
        <f>IFERROR((AE33-AE31)/AE31,0)</f>
        <v>29.228771719830501</v>
      </c>
      <c r="AF34" s="522">
        <f>IFERROR((AF33-AF31)/AF31,0)</f>
        <v>226.58332481977021</v>
      </c>
      <c r="AG34" s="481">
        <f>IFERROR((AG33-AG31)/AG31,0)</f>
        <v>17.973185823968262</v>
      </c>
      <c r="AH34" s="478"/>
      <c r="AI34" s="490">
        <v>0.9</v>
      </c>
      <c r="AJ34" s="478"/>
      <c r="AK34" s="478"/>
      <c r="AL34" s="478"/>
      <c r="AM34" s="478"/>
      <c r="AN34" s="478"/>
      <c r="AO34" s="478"/>
      <c r="AP34" s="478"/>
      <c r="AQ34" s="478"/>
      <c r="AR34" s="494"/>
      <c r="AS34" s="631"/>
      <c r="AT34" s="631"/>
      <c r="AU34" s="631"/>
      <c r="AV34" s="631"/>
      <c r="AW34" s="631"/>
      <c r="AX34" s="631"/>
      <c r="AY34" s="631"/>
      <c r="AZ34" s="631"/>
      <c r="BA34" s="631"/>
      <c r="BB34" s="631"/>
      <c r="BC34" s="631"/>
      <c r="BD34" s="631"/>
      <c r="BE34" s="495"/>
    </row>
    <row r="35" spans="7:57" ht="31" x14ac:dyDescent="0.45">
      <c r="G35" s="326"/>
      <c r="H35" s="182"/>
      <c r="I35" s="399" t="s">
        <v>174</v>
      </c>
      <c r="J35" s="406">
        <v>35840</v>
      </c>
      <c r="K35" s="182"/>
      <c r="L35" s="182"/>
      <c r="M35" s="182"/>
      <c r="N35" s="182"/>
      <c r="O35" s="182"/>
      <c r="P35" s="182"/>
      <c r="Q35" s="326"/>
      <c r="R35" s="446"/>
      <c r="S35" s="445" t="s">
        <v>175</v>
      </c>
      <c r="T35" s="445" t="s">
        <v>176</v>
      </c>
      <c r="U35" s="445" t="s">
        <v>177</v>
      </c>
      <c r="V35" s="445" t="s">
        <v>41</v>
      </c>
      <c r="W35" s="445" t="s">
        <v>43</v>
      </c>
      <c r="X35" s="445" t="s">
        <v>46</v>
      </c>
      <c r="Y35" s="445" t="s">
        <v>48</v>
      </c>
      <c r="Z35" s="447" t="s">
        <v>56</v>
      </c>
      <c r="AA35" s="182"/>
      <c r="AB35" s="424" t="s">
        <v>178</v>
      </c>
      <c r="AC35" s="478"/>
      <c r="AD35" s="478"/>
      <c r="AE35" s="478"/>
      <c r="AF35" s="478"/>
      <c r="AG35" s="478"/>
      <c r="AH35" s="478"/>
      <c r="AI35" s="490">
        <v>1</v>
      </c>
      <c r="AJ35" s="478"/>
      <c r="AK35" s="478"/>
      <c r="AL35" s="478"/>
      <c r="AM35" s="478"/>
      <c r="AN35" s="478"/>
      <c r="AO35" s="478"/>
      <c r="AP35" s="478"/>
      <c r="AQ35" s="478"/>
      <c r="AR35" s="494"/>
      <c r="AS35" s="631"/>
      <c r="AT35" s="631"/>
      <c r="AU35" s="631"/>
      <c r="AV35" s="631"/>
      <c r="AW35" s="631"/>
      <c r="AX35" s="631"/>
      <c r="AY35" s="631"/>
      <c r="AZ35" s="631"/>
      <c r="BA35" s="631"/>
      <c r="BB35" s="631"/>
      <c r="BC35" s="631"/>
      <c r="BD35" s="631"/>
      <c r="BE35" s="495"/>
    </row>
    <row r="36" spans="7:57" ht="18.5" x14ac:dyDescent="0.45">
      <c r="G36" s="326"/>
      <c r="H36" s="182"/>
      <c r="I36" s="399" t="s">
        <v>179</v>
      </c>
      <c r="J36" s="406">
        <v>56025.999735022226</v>
      </c>
      <c r="K36" s="182"/>
      <c r="L36" s="182"/>
      <c r="M36" s="182"/>
      <c r="N36" s="182"/>
      <c r="O36" s="182"/>
      <c r="P36" s="182"/>
      <c r="Q36" s="326"/>
      <c r="R36" s="454" t="s">
        <v>180</v>
      </c>
      <c r="S36" s="452" t="s">
        <v>181</v>
      </c>
      <c r="T36" s="452" t="s">
        <v>181</v>
      </c>
      <c r="U36" s="452"/>
      <c r="V36" s="452" t="s">
        <v>181</v>
      </c>
      <c r="W36" s="452" t="s">
        <v>181</v>
      </c>
      <c r="X36" s="452"/>
      <c r="Y36" s="452" t="s">
        <v>181</v>
      </c>
      <c r="Z36" s="448"/>
      <c r="AA36" s="602" t="s">
        <v>182</v>
      </c>
      <c r="AB36" s="458">
        <f t="shared" ref="AB36:AB43" si="4">COUNTIF(S36:Z36,"=X")</f>
        <v>5</v>
      </c>
      <c r="AC36" s="478"/>
      <c r="AD36" s="478"/>
      <c r="AE36" s="478"/>
      <c r="AF36" s="478"/>
      <c r="AG36" s="478"/>
      <c r="AH36" s="478"/>
      <c r="AI36" s="478"/>
      <c r="AJ36" s="478"/>
      <c r="AK36" s="478"/>
      <c r="AL36" s="478"/>
      <c r="AM36" s="478"/>
      <c r="AN36" s="478"/>
      <c r="AO36" s="478"/>
      <c r="AP36" s="478"/>
      <c r="AQ36" s="478"/>
      <c r="AR36" s="494"/>
      <c r="AS36" s="631"/>
      <c r="AT36" s="631"/>
      <c r="AU36" s="631"/>
      <c r="AV36" s="631"/>
      <c r="AW36" s="631"/>
      <c r="AX36" s="631"/>
      <c r="AY36" s="631"/>
      <c r="AZ36" s="631"/>
      <c r="BA36" s="631"/>
      <c r="BB36" s="631"/>
      <c r="BC36" s="631"/>
      <c r="BD36" s="631"/>
      <c r="BE36" s="495"/>
    </row>
    <row r="37" spans="7:57" ht="19" thickBot="1" x14ac:dyDescent="0.5">
      <c r="G37" s="326"/>
      <c r="H37" s="182"/>
      <c r="I37" s="404" t="s">
        <v>183</v>
      </c>
      <c r="J37" s="407">
        <v>0.56322543903521838</v>
      </c>
      <c r="K37" s="182"/>
      <c r="L37" s="182"/>
      <c r="M37" s="182"/>
      <c r="N37" s="182"/>
      <c r="O37" s="182"/>
      <c r="P37" s="182"/>
      <c r="Q37" s="326"/>
      <c r="R37" s="454" t="s">
        <v>184</v>
      </c>
      <c r="S37" s="452" t="s">
        <v>181</v>
      </c>
      <c r="T37" s="452" t="s">
        <v>181</v>
      </c>
      <c r="U37" s="452"/>
      <c r="V37" s="452" t="s">
        <v>181</v>
      </c>
      <c r="W37" s="452" t="s">
        <v>181</v>
      </c>
      <c r="X37" s="452"/>
      <c r="Y37" s="452" t="s">
        <v>181</v>
      </c>
      <c r="Z37" s="448"/>
      <c r="AA37" s="602" t="s">
        <v>182</v>
      </c>
      <c r="AB37" s="458">
        <f t="shared" si="4"/>
        <v>5</v>
      </c>
      <c r="AC37" s="478"/>
      <c r="AD37" s="478"/>
      <c r="AE37" s="478"/>
      <c r="AF37" s="478"/>
      <c r="AG37" s="478"/>
      <c r="AH37" s="478"/>
      <c r="AI37" s="478"/>
      <c r="AJ37" s="478"/>
      <c r="AK37" s="478"/>
      <c r="AL37" s="478"/>
      <c r="AM37" s="478"/>
      <c r="AN37" s="478"/>
      <c r="AO37" s="478"/>
      <c r="AP37" s="478"/>
      <c r="AQ37" s="478"/>
      <c r="AR37" s="676"/>
      <c r="AS37" s="677"/>
      <c r="AT37" s="677"/>
      <c r="AU37" s="677"/>
      <c r="AV37" s="677"/>
      <c r="AW37" s="631"/>
      <c r="AX37" s="631"/>
      <c r="AY37" s="631"/>
      <c r="AZ37" s="631"/>
      <c r="BA37" s="631"/>
      <c r="BB37" s="631"/>
      <c r="BC37" s="631"/>
      <c r="BD37" s="631"/>
      <c r="BE37" s="495"/>
    </row>
    <row r="38" spans="7:57" ht="15.5" x14ac:dyDescent="0.35">
      <c r="G38" s="326"/>
      <c r="H38" s="182"/>
      <c r="I38" s="182"/>
      <c r="J38" s="182"/>
      <c r="K38" s="182"/>
      <c r="L38" s="182"/>
      <c r="M38" s="182"/>
      <c r="N38" s="182"/>
      <c r="O38" s="182"/>
      <c r="P38" s="182"/>
      <c r="Q38" s="326"/>
      <c r="R38" s="454" t="s">
        <v>185</v>
      </c>
      <c r="S38" s="452"/>
      <c r="T38" s="452"/>
      <c r="U38" s="452"/>
      <c r="V38" s="452" t="s">
        <v>181</v>
      </c>
      <c r="W38" s="452"/>
      <c r="X38" s="452"/>
      <c r="Y38" s="452" t="s">
        <v>181</v>
      </c>
      <c r="Z38" s="448"/>
      <c r="AA38" s="603" t="s">
        <v>182</v>
      </c>
      <c r="AB38" s="458">
        <f t="shared" si="4"/>
        <v>2</v>
      </c>
      <c r="AC38" s="478"/>
      <c r="AD38" s="478"/>
      <c r="AE38" s="478"/>
      <c r="AF38" s="478"/>
      <c r="AG38" s="478"/>
      <c r="AH38" s="478"/>
      <c r="AI38" s="478"/>
      <c r="AJ38" s="478"/>
      <c r="AK38" s="478"/>
      <c r="AL38" s="478"/>
      <c r="AM38" s="478"/>
      <c r="AN38" s="478"/>
      <c r="AO38" s="478"/>
      <c r="AP38" s="478"/>
      <c r="AQ38" s="478"/>
      <c r="AR38" s="676"/>
      <c r="AS38" s="677"/>
      <c r="AT38" s="677"/>
      <c r="AU38" s="677"/>
      <c r="AV38" s="677"/>
      <c r="AW38" s="631"/>
      <c r="AX38" s="631"/>
      <c r="AY38" s="631"/>
      <c r="AZ38" s="631"/>
      <c r="BA38" s="631"/>
      <c r="BB38" s="631"/>
      <c r="BC38" s="631"/>
      <c r="BD38" s="631"/>
      <c r="BE38" s="495"/>
    </row>
    <row r="39" spans="7:57" ht="15.5" x14ac:dyDescent="0.35">
      <c r="G39" s="326"/>
      <c r="H39" s="182"/>
      <c r="I39" s="182"/>
      <c r="J39" s="182"/>
      <c r="K39" s="182"/>
      <c r="L39" s="182"/>
      <c r="M39" s="182"/>
      <c r="N39" s="182"/>
      <c r="O39" s="182"/>
      <c r="P39" s="182"/>
      <c r="Q39" s="326"/>
      <c r="R39" s="454" t="s">
        <v>186</v>
      </c>
      <c r="S39" s="452" t="s">
        <v>181</v>
      </c>
      <c r="T39" s="452" t="s">
        <v>181</v>
      </c>
      <c r="U39" s="452"/>
      <c r="V39" s="452"/>
      <c r="W39" s="452" t="s">
        <v>181</v>
      </c>
      <c r="X39" s="452" t="s">
        <v>181</v>
      </c>
      <c r="Y39" s="452" t="s">
        <v>181</v>
      </c>
      <c r="Z39" s="448"/>
      <c r="AA39" s="602" t="s">
        <v>182</v>
      </c>
      <c r="AB39" s="458">
        <f t="shared" si="4"/>
        <v>5</v>
      </c>
      <c r="AC39" s="478"/>
      <c r="AD39" s="478"/>
      <c r="AE39" s="478"/>
      <c r="AF39" s="478"/>
      <c r="AG39" s="478"/>
      <c r="AH39" s="478"/>
      <c r="AI39" s="478"/>
      <c r="AJ39" s="478"/>
      <c r="AK39" s="478"/>
      <c r="AL39" s="478"/>
      <c r="AM39" s="478"/>
      <c r="AN39" s="478"/>
      <c r="AO39" s="478"/>
      <c r="AP39" s="478"/>
      <c r="AQ39" s="478"/>
      <c r="AR39" s="494"/>
      <c r="AS39" s="631"/>
      <c r="AT39" s="631"/>
      <c r="AU39" s="631"/>
      <c r="AV39" s="631"/>
      <c r="AW39" s="631"/>
      <c r="AX39" s="631"/>
      <c r="AY39" s="631"/>
      <c r="AZ39" s="631"/>
      <c r="BA39" s="631"/>
      <c r="BB39" s="631"/>
      <c r="BC39" s="631"/>
      <c r="BD39" s="631"/>
      <c r="BE39" s="495"/>
    </row>
    <row r="40" spans="7:57" ht="15.5" x14ac:dyDescent="0.35">
      <c r="G40" s="326"/>
      <c r="H40" s="182"/>
      <c r="I40" s="182"/>
      <c r="J40" s="182"/>
      <c r="K40" s="182"/>
      <c r="L40" s="182"/>
      <c r="M40" s="182"/>
      <c r="N40" s="182"/>
      <c r="O40" s="182"/>
      <c r="P40" s="182"/>
      <c r="Q40" s="326"/>
      <c r="R40" s="454" t="s">
        <v>187</v>
      </c>
      <c r="S40" s="452" t="s">
        <v>181</v>
      </c>
      <c r="T40" s="452"/>
      <c r="U40" s="452" t="s">
        <v>181</v>
      </c>
      <c r="V40" s="452" t="s">
        <v>181</v>
      </c>
      <c r="W40" s="452" t="s">
        <v>181</v>
      </c>
      <c r="X40" s="452" t="s">
        <v>181</v>
      </c>
      <c r="Y40" s="452"/>
      <c r="Z40" s="448"/>
      <c r="AA40" s="602" t="s">
        <v>182</v>
      </c>
      <c r="AB40" s="458">
        <f t="shared" si="4"/>
        <v>5</v>
      </c>
      <c r="AC40" s="478"/>
      <c r="AD40" s="478"/>
      <c r="AE40" s="478"/>
      <c r="AF40" s="478"/>
      <c r="AG40" s="478"/>
      <c r="AH40" s="478"/>
      <c r="AI40" s="478"/>
      <c r="AJ40" s="478"/>
      <c r="AK40" s="478"/>
      <c r="AL40" s="478"/>
      <c r="AM40" s="478"/>
      <c r="AN40" s="478"/>
      <c r="AO40" s="478"/>
      <c r="AP40" s="478"/>
      <c r="AQ40" s="478"/>
      <c r="AR40" s="494"/>
      <c r="AS40" s="631"/>
      <c r="AT40" s="631"/>
      <c r="AU40" s="631"/>
      <c r="AV40" s="631"/>
      <c r="AW40" s="631"/>
      <c r="AX40" s="631"/>
      <c r="AY40" s="631"/>
      <c r="AZ40" s="631"/>
      <c r="BA40" s="631"/>
      <c r="BB40" s="631"/>
      <c r="BC40" s="631"/>
      <c r="BD40" s="631"/>
      <c r="BE40" s="495"/>
    </row>
    <row r="41" spans="7:57" ht="15.5" x14ac:dyDescent="0.35">
      <c r="G41" s="326"/>
      <c r="H41" s="182"/>
      <c r="I41" s="182"/>
      <c r="J41" s="182"/>
      <c r="K41" s="182"/>
      <c r="L41" s="182"/>
      <c r="M41" s="182"/>
      <c r="N41" s="182"/>
      <c r="O41" s="182"/>
      <c r="P41" s="182"/>
      <c r="Q41" s="326"/>
      <c r="R41" s="454" t="s">
        <v>188</v>
      </c>
      <c r="S41" s="452" t="s">
        <v>181</v>
      </c>
      <c r="T41" s="452"/>
      <c r="U41" s="452" t="s">
        <v>181</v>
      </c>
      <c r="V41" s="452" t="s">
        <v>181</v>
      </c>
      <c r="W41" s="452"/>
      <c r="X41" s="452"/>
      <c r="Y41" s="452"/>
      <c r="Z41" s="448" t="s">
        <v>181</v>
      </c>
      <c r="AA41" s="602" t="s">
        <v>182</v>
      </c>
      <c r="AB41" s="458">
        <f t="shared" si="4"/>
        <v>4</v>
      </c>
      <c r="AC41" s="478"/>
      <c r="AD41" s="478"/>
      <c r="AE41" s="478"/>
      <c r="AF41" s="478"/>
      <c r="AG41" s="478"/>
      <c r="AH41" s="478"/>
      <c r="AI41" s="478"/>
      <c r="AJ41" s="478"/>
      <c r="AK41" s="478"/>
      <c r="AL41" s="478"/>
      <c r="AM41" s="478"/>
      <c r="AN41" s="478"/>
      <c r="AO41" s="478"/>
      <c r="AP41" s="478"/>
      <c r="AQ41" s="478"/>
      <c r="AR41" s="494"/>
      <c r="AS41" s="631"/>
      <c r="AT41" s="631"/>
      <c r="AU41" s="631"/>
      <c r="AV41" s="631"/>
      <c r="AW41" s="631"/>
      <c r="AX41" s="631"/>
      <c r="AY41" s="631"/>
      <c r="AZ41" s="631"/>
      <c r="BA41" s="631"/>
      <c r="BB41" s="631"/>
      <c r="BC41" s="631"/>
      <c r="BD41" s="631"/>
      <c r="BE41" s="495"/>
    </row>
    <row r="42" spans="7:57" ht="18.5" x14ac:dyDescent="0.45">
      <c r="G42" s="326"/>
      <c r="H42" s="184"/>
      <c r="I42" s="182"/>
      <c r="J42" s="182"/>
      <c r="K42" s="182"/>
      <c r="L42" s="182"/>
      <c r="M42" s="182"/>
      <c r="N42" s="182"/>
      <c r="O42" s="182"/>
      <c r="P42" s="182"/>
      <c r="Q42" s="326"/>
      <c r="R42" s="454" t="s">
        <v>189</v>
      </c>
      <c r="S42" s="452"/>
      <c r="T42" s="452" t="s">
        <v>181</v>
      </c>
      <c r="U42" s="452" t="s">
        <v>181</v>
      </c>
      <c r="V42" s="452"/>
      <c r="W42" s="452" t="s">
        <v>181</v>
      </c>
      <c r="X42" s="452" t="s">
        <v>181</v>
      </c>
      <c r="Y42" s="452"/>
      <c r="Z42" s="448" t="s">
        <v>181</v>
      </c>
      <c r="AA42" s="602" t="s">
        <v>182</v>
      </c>
      <c r="AB42" s="458">
        <f t="shared" si="4"/>
        <v>5</v>
      </c>
      <c r="AC42" s="478"/>
      <c r="AD42" s="478"/>
      <c r="AE42" s="478"/>
      <c r="AF42" s="478"/>
      <c r="AG42" s="478"/>
      <c r="AH42" s="478"/>
      <c r="AI42" s="478"/>
      <c r="AJ42" s="478"/>
      <c r="AK42" s="478"/>
      <c r="AL42" s="478"/>
      <c r="AM42" s="478"/>
      <c r="AN42" s="478"/>
      <c r="AO42" s="478"/>
      <c r="AP42" s="478"/>
      <c r="AQ42" s="478"/>
      <c r="AR42" s="494"/>
      <c r="AS42" s="631"/>
      <c r="AT42" s="631"/>
      <c r="AU42" s="631"/>
      <c r="AV42" s="631"/>
      <c r="AW42" s="631"/>
      <c r="AX42" s="631"/>
      <c r="AY42" s="631"/>
      <c r="AZ42" s="631"/>
      <c r="BA42" s="631"/>
      <c r="BB42" s="631"/>
      <c r="BC42" s="631"/>
      <c r="BD42" s="631"/>
      <c r="BE42" s="495"/>
    </row>
    <row r="43" spans="7:57" ht="18.5" x14ac:dyDescent="0.45">
      <c r="G43" s="326"/>
      <c r="H43" s="184"/>
      <c r="I43" s="182"/>
      <c r="J43" s="182"/>
      <c r="K43" s="182"/>
      <c r="L43" s="182"/>
      <c r="M43" s="182"/>
      <c r="N43" s="182"/>
      <c r="O43" s="182"/>
      <c r="P43" s="182"/>
      <c r="Q43" s="326"/>
      <c r="R43" s="455" t="s">
        <v>190</v>
      </c>
      <c r="S43" s="453" t="s">
        <v>181</v>
      </c>
      <c r="T43" s="453"/>
      <c r="U43" s="453" t="s">
        <v>181</v>
      </c>
      <c r="V43" s="453"/>
      <c r="W43" s="453" t="s">
        <v>181</v>
      </c>
      <c r="X43" s="453" t="s">
        <v>181</v>
      </c>
      <c r="Y43" s="453"/>
      <c r="Z43" s="449" t="s">
        <v>181</v>
      </c>
      <c r="AA43" s="602" t="s">
        <v>182</v>
      </c>
      <c r="AB43" s="458">
        <f t="shared" si="4"/>
        <v>5</v>
      </c>
      <c r="AC43" s="478"/>
      <c r="AD43" s="478"/>
      <c r="AE43" s="478"/>
      <c r="AF43" s="478"/>
      <c r="AG43" s="478"/>
      <c r="AH43" s="478"/>
      <c r="AI43" s="478"/>
      <c r="AJ43" s="478"/>
      <c r="AK43" s="478"/>
      <c r="AL43" s="478"/>
      <c r="AM43" s="478"/>
      <c r="AN43" s="478"/>
      <c r="AO43" s="478"/>
      <c r="AP43" s="478"/>
      <c r="AQ43" s="478"/>
      <c r="AR43" s="494"/>
      <c r="AS43" s="631"/>
      <c r="AT43" s="631"/>
      <c r="AU43" s="631"/>
      <c r="AV43" s="631"/>
      <c r="AW43" s="631"/>
      <c r="AX43" s="631"/>
      <c r="AY43" s="631"/>
      <c r="AZ43" s="631"/>
      <c r="BA43" s="631"/>
      <c r="BB43" s="631"/>
      <c r="BC43" s="631"/>
      <c r="BD43" s="631"/>
      <c r="BE43" s="495"/>
    </row>
    <row r="44" spans="7:57" ht="15" customHeight="1" thickBot="1" x14ac:dyDescent="0.4">
      <c r="G44" s="326"/>
      <c r="H44" s="182"/>
      <c r="I44" s="182"/>
      <c r="J44" s="182"/>
      <c r="K44" s="182"/>
      <c r="L44" s="182"/>
      <c r="M44" s="182"/>
      <c r="N44" s="182"/>
      <c r="O44" s="182"/>
      <c r="P44" s="182"/>
      <c r="Q44" s="326"/>
      <c r="R44" s="456" t="s">
        <v>191</v>
      </c>
      <c r="S44" s="450">
        <f>COUNTIF(S36:S43,"=X")</f>
        <v>6</v>
      </c>
      <c r="T44" s="450">
        <f t="shared" ref="T44:Z44" si="5">COUNTIF(T36:T43,"=X")</f>
        <v>4</v>
      </c>
      <c r="U44" s="450">
        <f t="shared" si="5"/>
        <v>4</v>
      </c>
      <c r="V44" s="450">
        <f t="shared" si="5"/>
        <v>5</v>
      </c>
      <c r="W44" s="450">
        <f t="shared" si="5"/>
        <v>6</v>
      </c>
      <c r="X44" s="450">
        <f t="shared" si="5"/>
        <v>4</v>
      </c>
      <c r="Y44" s="450">
        <f t="shared" si="5"/>
        <v>4</v>
      </c>
      <c r="Z44" s="451">
        <f t="shared" si="5"/>
        <v>3</v>
      </c>
      <c r="AA44" s="182"/>
      <c r="AB44" s="459">
        <f>SUM(AB36:AB43)</f>
        <v>36</v>
      </c>
      <c r="AC44" s="414"/>
      <c r="AD44" s="414"/>
      <c r="AE44" s="414"/>
      <c r="AF44" s="414"/>
      <c r="AG44" s="414"/>
      <c r="AH44" s="414"/>
      <c r="AI44" s="414"/>
      <c r="AJ44" s="414"/>
      <c r="AK44" s="414"/>
      <c r="AL44" s="414"/>
      <c r="AM44" s="414"/>
      <c r="AN44" s="414"/>
      <c r="AO44" s="414"/>
      <c r="AP44" s="414"/>
      <c r="AQ44" s="414"/>
      <c r="AR44" s="494"/>
      <c r="AS44" s="633"/>
      <c r="AT44" s="633"/>
      <c r="AU44" s="633"/>
      <c r="AV44" s="633"/>
      <c r="AW44" s="631"/>
      <c r="AX44" s="631"/>
      <c r="AY44" s="631"/>
      <c r="AZ44" s="631"/>
      <c r="BA44" s="631"/>
      <c r="BB44" s="631"/>
      <c r="BC44" s="631"/>
      <c r="BD44" s="631"/>
      <c r="BE44" s="495"/>
    </row>
    <row r="45" spans="7:57" ht="14.5" customHeight="1" x14ac:dyDescent="0.35">
      <c r="G45" s="326"/>
      <c r="H45" s="182"/>
      <c r="I45" s="182"/>
      <c r="J45" s="182"/>
      <c r="K45" s="182"/>
      <c r="L45" s="182"/>
      <c r="M45" s="182"/>
      <c r="N45" s="182"/>
      <c r="O45" s="182"/>
      <c r="P45" s="182"/>
      <c r="Q45" s="326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325"/>
      <c r="AR45" s="626"/>
      <c r="AS45" s="626" t="s">
        <v>192</v>
      </c>
      <c r="AT45" s="633"/>
      <c r="AU45" s="633"/>
      <c r="AV45" s="633"/>
      <c r="AW45" s="631"/>
      <c r="AX45" s="631"/>
      <c r="AY45" s="631"/>
      <c r="AZ45" s="631"/>
      <c r="BA45" s="631"/>
      <c r="BB45" s="631"/>
      <c r="BC45" s="631"/>
      <c r="BD45" s="631"/>
      <c r="BE45" s="495"/>
    </row>
    <row r="46" spans="7:57" ht="18.5" x14ac:dyDescent="0.45">
      <c r="G46" s="326"/>
      <c r="H46" s="182"/>
      <c r="I46" s="182"/>
      <c r="J46" s="182"/>
      <c r="K46" s="182"/>
      <c r="L46" s="182"/>
      <c r="M46" s="182"/>
      <c r="N46" s="182"/>
      <c r="O46" s="182"/>
      <c r="P46" s="182"/>
      <c r="Q46" s="326"/>
      <c r="R46" s="604" t="s">
        <v>193</v>
      </c>
      <c r="S46" s="182"/>
      <c r="T46" s="182"/>
      <c r="U46" s="182"/>
      <c r="V46" s="182"/>
      <c r="W46" s="605" t="s">
        <v>194</v>
      </c>
      <c r="X46" s="182"/>
      <c r="Y46" s="182"/>
      <c r="Z46" s="182"/>
      <c r="AA46" s="182"/>
      <c r="AB46" s="325"/>
      <c r="AR46" s="494"/>
      <c r="AS46" s="631"/>
      <c r="AT46" s="631"/>
      <c r="AU46" s="631"/>
      <c r="AV46" s="631"/>
      <c r="AW46" s="631"/>
      <c r="AX46" s="631"/>
      <c r="AY46" s="631"/>
      <c r="AZ46" s="631"/>
      <c r="BA46" s="631"/>
      <c r="BB46" s="631"/>
      <c r="BC46" s="631"/>
      <c r="BD46" s="631"/>
      <c r="BE46" s="495"/>
    </row>
    <row r="47" spans="7:57" ht="19" thickBot="1" x14ac:dyDescent="0.5">
      <c r="G47" s="326"/>
      <c r="H47" s="182"/>
      <c r="I47" s="182"/>
      <c r="J47" s="182"/>
      <c r="K47" s="182"/>
      <c r="L47" s="182"/>
      <c r="M47" s="182"/>
      <c r="N47" s="182"/>
      <c r="O47" s="182"/>
      <c r="P47" s="182"/>
      <c r="Q47" s="326"/>
      <c r="R47" s="182"/>
      <c r="S47" s="182"/>
      <c r="T47" s="182"/>
      <c r="U47" s="182"/>
      <c r="V47" s="182"/>
      <c r="W47" s="604" t="s">
        <v>195</v>
      </c>
      <c r="X47" s="182"/>
      <c r="Y47" s="182"/>
      <c r="Z47" s="182"/>
      <c r="AA47" s="182"/>
      <c r="AB47" s="325"/>
      <c r="AR47" s="494"/>
      <c r="AS47" s="631"/>
      <c r="AT47" s="631"/>
      <c r="AU47" s="631"/>
      <c r="AV47" s="631"/>
      <c r="AW47" s="631"/>
      <c r="AX47" s="631"/>
      <c r="AY47" s="631"/>
      <c r="AZ47" s="631"/>
      <c r="BA47" s="631"/>
      <c r="BB47" s="631"/>
      <c r="BC47" s="631"/>
      <c r="BD47" s="631"/>
      <c r="BE47" s="495"/>
    </row>
    <row r="48" spans="7:57" ht="15.5" x14ac:dyDescent="0.35">
      <c r="G48" s="326"/>
      <c r="H48" s="182"/>
      <c r="I48" s="182"/>
      <c r="J48" s="182"/>
      <c r="K48" s="182"/>
      <c r="L48" s="182"/>
      <c r="M48" s="182"/>
      <c r="N48" s="182"/>
      <c r="O48" s="182"/>
      <c r="P48" s="182"/>
      <c r="Q48" s="326"/>
      <c r="R48" s="461" t="s">
        <v>143</v>
      </c>
      <c r="S48" s="462" t="s">
        <v>144</v>
      </c>
      <c r="T48" s="463" t="s">
        <v>196</v>
      </c>
      <c r="U48" s="464" t="s">
        <v>145</v>
      </c>
      <c r="V48" s="182"/>
      <c r="W48" s="470"/>
      <c r="X48" s="428" t="s">
        <v>161</v>
      </c>
      <c r="Y48" s="471" t="s">
        <v>197</v>
      </c>
      <c r="Z48" s="182"/>
      <c r="AA48" s="182"/>
      <c r="AB48" s="325"/>
      <c r="AR48" s="494"/>
      <c r="AS48" s="631"/>
      <c r="AT48" s="631"/>
      <c r="AU48" s="631"/>
      <c r="AV48" s="631"/>
      <c r="AW48" s="631"/>
      <c r="AX48" s="631"/>
      <c r="AY48" s="631"/>
      <c r="AZ48" s="631"/>
      <c r="BA48" s="631"/>
      <c r="BB48" s="631"/>
      <c r="BC48" s="631"/>
      <c r="BD48" s="631"/>
      <c r="BE48" s="495"/>
    </row>
    <row r="49" spans="7:57" ht="15.5" x14ac:dyDescent="0.35">
      <c r="G49" s="326"/>
      <c r="H49" s="182"/>
      <c r="I49" s="182"/>
      <c r="J49" s="182"/>
      <c r="K49" s="182"/>
      <c r="L49" s="182"/>
      <c r="M49" s="182"/>
      <c r="N49" s="182"/>
      <c r="O49" s="182"/>
      <c r="P49" s="182"/>
      <c r="Q49" s="326"/>
      <c r="R49" s="465">
        <v>1</v>
      </c>
      <c r="S49" s="457" t="s">
        <v>50</v>
      </c>
      <c r="T49" s="540">
        <v>6</v>
      </c>
      <c r="U49" s="466">
        <v>3</v>
      </c>
      <c r="V49" s="182"/>
      <c r="W49" s="472" t="s">
        <v>157</v>
      </c>
      <c r="X49" s="416">
        <v>17684</v>
      </c>
      <c r="Y49" s="473"/>
      <c r="Z49" s="182"/>
      <c r="AA49" s="182"/>
      <c r="AB49" s="325"/>
      <c r="AR49" s="494"/>
      <c r="AS49" s="631"/>
      <c r="AT49" s="631"/>
      <c r="AU49" s="631"/>
      <c r="AV49" s="631"/>
      <c r="AW49" s="631"/>
      <c r="AX49" s="631"/>
      <c r="AY49" s="631"/>
      <c r="AZ49" s="631"/>
      <c r="BA49" s="631"/>
      <c r="BB49" s="631"/>
      <c r="BC49" s="631"/>
      <c r="BD49" s="631"/>
      <c r="BE49" s="495"/>
    </row>
    <row r="50" spans="7:57" ht="16" thickBot="1" x14ac:dyDescent="0.4">
      <c r="G50" s="326"/>
      <c r="H50" s="182"/>
      <c r="I50" s="182"/>
      <c r="J50" s="182"/>
      <c r="K50" s="182"/>
      <c r="L50" s="182"/>
      <c r="M50" s="182"/>
      <c r="N50" s="182"/>
      <c r="O50" s="182"/>
      <c r="P50" s="182"/>
      <c r="Q50" s="326"/>
      <c r="R50" s="465">
        <v>2</v>
      </c>
      <c r="S50" s="457" t="s">
        <v>52</v>
      </c>
      <c r="T50" s="540">
        <v>1</v>
      </c>
      <c r="U50" s="466">
        <v>5</v>
      </c>
      <c r="V50" s="182"/>
      <c r="W50" s="474" t="s">
        <v>198</v>
      </c>
      <c r="X50" s="475">
        <v>23277.202721846108</v>
      </c>
      <c r="Y50" s="476">
        <v>0.31628606208132254</v>
      </c>
      <c r="Z50" s="182"/>
      <c r="AA50" s="182"/>
      <c r="AB50" s="325"/>
      <c r="AR50" s="494"/>
      <c r="AS50" s="631"/>
      <c r="AT50" s="631"/>
      <c r="AU50" s="631"/>
      <c r="AV50" s="631"/>
      <c r="AW50" s="631"/>
      <c r="AX50" s="631"/>
      <c r="AY50" s="631"/>
      <c r="AZ50" s="631"/>
      <c r="BA50" s="631"/>
      <c r="BB50" s="631"/>
      <c r="BC50" s="631"/>
      <c r="BD50" s="631"/>
      <c r="BE50" s="495"/>
    </row>
    <row r="51" spans="7:57" ht="15.5" x14ac:dyDescent="0.35">
      <c r="G51" s="326"/>
      <c r="H51" s="182"/>
      <c r="I51" s="182"/>
      <c r="J51" s="182"/>
      <c r="K51" s="182"/>
      <c r="L51" s="182"/>
      <c r="M51" s="182"/>
      <c r="N51" s="182"/>
      <c r="O51" s="182"/>
      <c r="P51" s="182"/>
      <c r="Q51" s="326"/>
      <c r="R51" s="465">
        <v>3</v>
      </c>
      <c r="S51" s="457" t="s">
        <v>54</v>
      </c>
      <c r="T51" s="540">
        <v>4</v>
      </c>
      <c r="U51" s="466">
        <v>2</v>
      </c>
      <c r="V51" s="182"/>
      <c r="W51" s="606"/>
      <c r="X51" s="607"/>
      <c r="Y51" s="182"/>
      <c r="Z51" s="182"/>
      <c r="AA51" s="182"/>
      <c r="AB51" s="325"/>
      <c r="AR51" s="494"/>
      <c r="AS51" s="631"/>
      <c r="AT51" s="631"/>
      <c r="AU51" s="631"/>
      <c r="AV51" s="631"/>
      <c r="AW51" s="631"/>
      <c r="AX51" s="631"/>
      <c r="AY51" s="631"/>
      <c r="AZ51" s="631"/>
      <c r="BA51" s="631"/>
      <c r="BB51" s="631"/>
      <c r="BC51" s="631"/>
      <c r="BD51" s="631"/>
      <c r="BE51" s="495"/>
    </row>
    <row r="52" spans="7:57" ht="15.5" x14ac:dyDescent="0.35">
      <c r="G52" s="326"/>
      <c r="H52" s="182"/>
      <c r="I52" s="182"/>
      <c r="J52" s="182"/>
      <c r="K52" s="182"/>
      <c r="L52" s="182"/>
      <c r="M52" s="182"/>
      <c r="N52" s="182"/>
      <c r="O52" s="182"/>
      <c r="P52" s="182"/>
      <c r="Q52" s="326"/>
      <c r="R52" s="465">
        <v>4</v>
      </c>
      <c r="S52" s="457" t="s">
        <v>41</v>
      </c>
      <c r="T52" s="540">
        <v>5</v>
      </c>
      <c r="U52" s="466">
        <v>1</v>
      </c>
      <c r="V52" s="182"/>
      <c r="W52" s="182"/>
      <c r="X52" s="182"/>
      <c r="Y52" s="182"/>
      <c r="Z52" s="182"/>
      <c r="AA52" s="182"/>
      <c r="AB52" s="325"/>
      <c r="AR52" s="494"/>
      <c r="AS52" s="631"/>
      <c r="AT52" s="631"/>
      <c r="AU52" s="631"/>
      <c r="AV52" s="631"/>
      <c r="AW52" s="631"/>
      <c r="AX52" s="631"/>
      <c r="AY52" s="631"/>
      <c r="AZ52" s="631"/>
      <c r="BA52" s="631"/>
      <c r="BB52" s="631"/>
      <c r="BC52" s="631"/>
      <c r="BD52" s="631"/>
      <c r="BE52" s="495"/>
    </row>
    <row r="53" spans="7:57" ht="15.5" x14ac:dyDescent="0.35">
      <c r="G53" s="326"/>
      <c r="H53" s="182"/>
      <c r="I53" s="182"/>
      <c r="J53" s="182"/>
      <c r="K53" s="182"/>
      <c r="L53" s="182"/>
      <c r="M53" s="182"/>
      <c r="N53" s="182"/>
      <c r="O53" s="182"/>
      <c r="P53" s="182"/>
      <c r="Q53" s="326"/>
      <c r="R53" s="465">
        <v>5</v>
      </c>
      <c r="S53" s="457" t="s">
        <v>43</v>
      </c>
      <c r="T53" s="540">
        <v>2</v>
      </c>
      <c r="U53" s="466">
        <v>3</v>
      </c>
      <c r="V53" s="182"/>
      <c r="W53" s="182"/>
      <c r="X53" s="182"/>
      <c r="Y53" s="182"/>
      <c r="Z53" s="182"/>
      <c r="AA53" s="182"/>
      <c r="AB53" s="325"/>
      <c r="AR53" s="494"/>
      <c r="AS53" s="631"/>
      <c r="AT53" s="631"/>
      <c r="AU53" s="631"/>
      <c r="AV53" s="631"/>
      <c r="AW53" s="631"/>
      <c r="AX53" s="631"/>
      <c r="AY53" s="631"/>
      <c r="AZ53" s="631"/>
      <c r="BA53" s="631"/>
      <c r="BB53" s="631"/>
      <c r="BC53" s="631"/>
      <c r="BD53" s="631"/>
      <c r="BE53" s="495"/>
    </row>
    <row r="54" spans="7:57" ht="16" thickBot="1" x14ac:dyDescent="0.4">
      <c r="G54" s="327"/>
      <c r="H54" s="328"/>
      <c r="I54" s="328"/>
      <c r="J54" s="328"/>
      <c r="K54" s="328"/>
      <c r="L54" s="328"/>
      <c r="M54" s="328"/>
      <c r="N54" s="328"/>
      <c r="O54" s="328"/>
      <c r="P54" s="328"/>
      <c r="Q54" s="326"/>
      <c r="R54" s="465">
        <v>6</v>
      </c>
      <c r="S54" s="457" t="s">
        <v>46</v>
      </c>
      <c r="T54" s="540">
        <v>4</v>
      </c>
      <c r="U54" s="466">
        <v>2</v>
      </c>
      <c r="V54" s="182"/>
      <c r="W54" s="182"/>
      <c r="X54" s="182"/>
      <c r="Y54" s="182"/>
      <c r="Z54" s="182"/>
      <c r="AA54" s="182"/>
      <c r="AB54" s="325"/>
      <c r="AR54" s="494"/>
      <c r="AS54" s="631"/>
      <c r="AT54" s="631"/>
      <c r="AU54" s="631"/>
      <c r="AV54" s="631"/>
      <c r="AW54" s="631"/>
      <c r="AX54" s="631"/>
      <c r="AY54" s="631"/>
      <c r="AZ54" s="631"/>
      <c r="BA54" s="631"/>
      <c r="BB54" s="631"/>
      <c r="BC54" s="631"/>
      <c r="BD54" s="631"/>
      <c r="BE54" s="495"/>
    </row>
    <row r="55" spans="7:57" ht="15.5" x14ac:dyDescent="0.35">
      <c r="Q55" s="326"/>
      <c r="R55" s="465">
        <v>7</v>
      </c>
      <c r="S55" s="457" t="s">
        <v>48</v>
      </c>
      <c r="T55" s="540">
        <v>4</v>
      </c>
      <c r="U55" s="466">
        <v>9</v>
      </c>
      <c r="V55" s="182"/>
      <c r="W55" s="182"/>
      <c r="X55" s="182"/>
      <c r="Y55" s="182"/>
      <c r="Z55" s="182"/>
      <c r="AA55" s="182"/>
      <c r="AB55" s="325"/>
      <c r="AR55" s="494"/>
      <c r="AS55" s="631"/>
      <c r="AT55" s="631"/>
      <c r="AU55" s="631"/>
      <c r="AV55" s="631"/>
      <c r="AW55" s="631"/>
      <c r="AX55" s="631"/>
      <c r="AY55" s="631"/>
      <c r="AZ55" s="631"/>
      <c r="BA55" s="631"/>
      <c r="BB55" s="631"/>
      <c r="BC55" s="631"/>
      <c r="BD55" s="631"/>
      <c r="BE55" s="495"/>
    </row>
    <row r="56" spans="7:57" ht="16" thickBot="1" x14ac:dyDescent="0.4">
      <c r="Q56" s="326"/>
      <c r="R56" s="467">
        <v>8</v>
      </c>
      <c r="S56" s="468" t="s">
        <v>56</v>
      </c>
      <c r="T56" s="541">
        <v>1</v>
      </c>
      <c r="U56" s="469">
        <v>1</v>
      </c>
      <c r="V56" s="182"/>
      <c r="W56" s="182"/>
      <c r="X56" s="182"/>
      <c r="Y56" s="182"/>
      <c r="Z56" s="182"/>
      <c r="AA56" s="182"/>
      <c r="AB56" s="325"/>
      <c r="AR56" s="494"/>
      <c r="AS56" s="631"/>
      <c r="AT56" s="631"/>
      <c r="AU56" s="631"/>
      <c r="AV56" s="631"/>
      <c r="AW56" s="631"/>
      <c r="AX56" s="631"/>
      <c r="AY56" s="631"/>
      <c r="AZ56" s="631"/>
      <c r="BA56" s="631"/>
      <c r="BB56" s="631"/>
      <c r="BC56" s="631"/>
      <c r="BD56" s="631"/>
      <c r="BE56" s="495"/>
    </row>
    <row r="57" spans="7:57" ht="14.5" x14ac:dyDescent="0.35">
      <c r="Q57" s="326"/>
      <c r="R57" s="182"/>
      <c r="S57" s="182"/>
      <c r="T57" s="182"/>
      <c r="U57" s="182"/>
      <c r="V57" s="182"/>
      <c r="W57" s="182"/>
      <c r="X57" s="182"/>
      <c r="Y57" s="182"/>
      <c r="Z57" s="182"/>
      <c r="AA57" s="182"/>
      <c r="AB57" s="325"/>
      <c r="AR57" s="494"/>
      <c r="AS57" s="631"/>
      <c r="AT57" s="631"/>
      <c r="AU57" s="631"/>
      <c r="AV57" s="631"/>
      <c r="AW57" s="631"/>
      <c r="AX57" s="631"/>
      <c r="AY57" s="631"/>
      <c r="AZ57" s="631"/>
      <c r="BA57" s="631"/>
      <c r="BB57" s="631"/>
      <c r="BC57" s="631"/>
      <c r="BD57" s="631"/>
      <c r="BE57" s="495"/>
    </row>
    <row r="58" spans="7:57" ht="14.5" x14ac:dyDescent="0.35">
      <c r="Q58" s="326"/>
      <c r="R58" s="182"/>
      <c r="S58" s="182"/>
      <c r="T58" s="182"/>
      <c r="U58" s="182"/>
      <c r="V58" s="182"/>
      <c r="W58" s="182"/>
      <c r="X58" s="182"/>
      <c r="Y58" s="182"/>
      <c r="Z58" s="182"/>
      <c r="AA58" s="182"/>
      <c r="AB58" s="325"/>
      <c r="AR58" s="494"/>
      <c r="AS58" s="631"/>
      <c r="AT58" s="631"/>
      <c r="AU58" s="631"/>
      <c r="AV58" s="631"/>
      <c r="AW58" s="631"/>
      <c r="AX58" s="631"/>
      <c r="AY58" s="631"/>
      <c r="AZ58" s="631"/>
      <c r="BA58" s="631"/>
      <c r="BB58" s="631"/>
      <c r="BC58" s="631"/>
      <c r="BD58" s="631"/>
      <c r="BE58" s="495"/>
    </row>
    <row r="59" spans="7:57" ht="14.5" x14ac:dyDescent="0.35">
      <c r="Q59" s="326"/>
      <c r="R59" s="608"/>
      <c r="S59" s="182"/>
      <c r="T59" s="182"/>
      <c r="U59" s="182"/>
      <c r="V59" s="182"/>
      <c r="W59" s="182"/>
      <c r="X59" s="182"/>
      <c r="Y59" s="182"/>
      <c r="Z59" s="182"/>
      <c r="AA59" s="182"/>
      <c r="AB59" s="325"/>
      <c r="AR59" s="494"/>
      <c r="AS59" s="631"/>
      <c r="AT59" s="631"/>
      <c r="AU59" s="631"/>
      <c r="AV59" s="631"/>
      <c r="AW59" s="631"/>
      <c r="AX59" s="631"/>
      <c r="AY59" s="631"/>
      <c r="AZ59" s="631"/>
      <c r="BA59" s="631"/>
      <c r="BB59" s="631"/>
      <c r="BC59" s="631"/>
      <c r="BD59" s="631"/>
      <c r="BE59" s="495"/>
    </row>
    <row r="60" spans="7:57" ht="18.5" x14ac:dyDescent="0.45">
      <c r="Q60" s="326"/>
      <c r="R60" s="184"/>
      <c r="S60" s="182"/>
      <c r="T60" s="182"/>
      <c r="U60" s="182"/>
      <c r="V60" s="182"/>
      <c r="W60" s="182"/>
      <c r="X60" s="182"/>
      <c r="Y60" s="182"/>
      <c r="Z60" s="182"/>
      <c r="AA60" s="182"/>
      <c r="AB60" s="325"/>
      <c r="AR60" s="494"/>
      <c r="AS60" s="631"/>
      <c r="AT60" s="631"/>
      <c r="AU60" s="631"/>
      <c r="AV60" s="631"/>
      <c r="AW60" s="631"/>
      <c r="AX60" s="631"/>
      <c r="AY60" s="631"/>
      <c r="AZ60" s="631"/>
      <c r="BA60" s="631"/>
      <c r="BB60" s="631"/>
      <c r="BC60" s="631"/>
      <c r="BD60" s="631"/>
      <c r="BE60" s="495"/>
    </row>
    <row r="61" spans="7:57" ht="19" thickBot="1" x14ac:dyDescent="0.5">
      <c r="Q61" s="326"/>
      <c r="R61" s="184"/>
      <c r="S61" s="185"/>
      <c r="T61" s="609"/>
      <c r="U61" s="610"/>
      <c r="V61" s="611"/>
      <c r="W61" s="612"/>
      <c r="X61" s="417"/>
      <c r="Y61" s="182"/>
      <c r="Z61" s="182"/>
      <c r="AA61" s="182"/>
      <c r="AB61" s="325"/>
      <c r="AR61" s="497"/>
      <c r="AS61" s="498"/>
      <c r="AT61" s="498"/>
      <c r="AU61" s="498"/>
      <c r="AV61" s="498"/>
      <c r="AW61" s="498"/>
      <c r="AX61" s="498"/>
      <c r="AY61" s="498"/>
      <c r="AZ61" s="498"/>
      <c r="BA61" s="498"/>
      <c r="BB61" s="498"/>
      <c r="BC61" s="498"/>
      <c r="BD61" s="498"/>
      <c r="BE61" s="499"/>
    </row>
    <row r="62" spans="7:57" ht="14.5" x14ac:dyDescent="0.35">
      <c r="Q62" s="326"/>
      <c r="R62" s="613"/>
      <c r="S62" s="613"/>
      <c r="T62" s="613"/>
      <c r="U62" s="613"/>
      <c r="V62" s="614"/>
      <c r="W62" s="613"/>
      <c r="X62" s="182"/>
      <c r="Y62" s="182"/>
      <c r="Z62" s="182"/>
      <c r="AA62" s="182"/>
      <c r="AB62" s="325"/>
    </row>
    <row r="63" spans="7:57" ht="21" x14ac:dyDescent="0.5">
      <c r="G63" s="72"/>
      <c r="Q63" s="326"/>
      <c r="R63" s="182"/>
      <c r="S63" s="615"/>
      <c r="T63" s="547"/>
      <c r="U63" s="182"/>
      <c r="V63" s="616"/>
      <c r="W63" s="182"/>
      <c r="X63" s="182"/>
      <c r="Y63" s="182"/>
      <c r="Z63" s="182"/>
      <c r="AA63" s="182"/>
      <c r="AB63" s="325"/>
    </row>
    <row r="64" spans="7:57" ht="14.5" x14ac:dyDescent="0.35">
      <c r="Q64" s="326"/>
      <c r="R64" s="182"/>
      <c r="S64" s="615"/>
      <c r="T64" s="547"/>
      <c r="U64" s="182"/>
      <c r="V64" s="616"/>
      <c r="W64" s="182"/>
      <c r="X64" s="182"/>
      <c r="Y64" s="182"/>
      <c r="Z64" s="182"/>
      <c r="AA64" s="182"/>
      <c r="AB64" s="325"/>
    </row>
    <row r="65" spans="7:28" ht="18.5" x14ac:dyDescent="0.45">
      <c r="G65" s="338"/>
      <c r="H65" s="339"/>
      <c r="Q65" s="326"/>
      <c r="R65" s="182"/>
      <c r="S65" s="615"/>
      <c r="T65" s="547"/>
      <c r="U65" s="182"/>
      <c r="V65" s="616"/>
      <c r="W65" s="182"/>
      <c r="X65" s="182"/>
      <c r="Y65" s="182"/>
      <c r="Z65" s="182"/>
      <c r="AA65" s="182"/>
      <c r="AB65" s="325"/>
    </row>
    <row r="66" spans="7:28" ht="14.5" x14ac:dyDescent="0.35">
      <c r="Q66" s="326"/>
      <c r="R66" s="182"/>
      <c r="S66" s="615"/>
      <c r="T66" s="547"/>
      <c r="U66" s="182"/>
      <c r="V66" s="616"/>
      <c r="W66" s="182"/>
      <c r="X66" s="182"/>
      <c r="Y66" s="182"/>
      <c r="Z66" s="182"/>
      <c r="AA66" s="182"/>
      <c r="AB66" s="325"/>
    </row>
    <row r="67" spans="7:28" ht="14.5" x14ac:dyDescent="0.35">
      <c r="I67" s="340"/>
      <c r="J67" s="341"/>
      <c r="K67" s="341"/>
      <c r="L67" s="341"/>
      <c r="M67" s="341"/>
      <c r="N67" s="341"/>
      <c r="O67" s="341"/>
      <c r="Q67" s="326"/>
      <c r="R67" s="182"/>
      <c r="S67" s="615"/>
      <c r="T67" s="547"/>
      <c r="U67" s="182"/>
      <c r="V67" s="616"/>
      <c r="W67" s="182"/>
      <c r="X67" s="182"/>
      <c r="Y67" s="182"/>
      <c r="Z67" s="182"/>
      <c r="AA67" s="182"/>
      <c r="AB67" s="325"/>
    </row>
    <row r="68" spans="7:28" ht="14.5" x14ac:dyDescent="0.35">
      <c r="I68" s="341"/>
      <c r="J68" s="342"/>
      <c r="K68" s="342"/>
      <c r="L68" s="342"/>
      <c r="M68" s="342"/>
      <c r="N68" s="342"/>
      <c r="O68" s="342"/>
      <c r="Q68" s="326"/>
      <c r="R68" s="182"/>
      <c r="S68" s="615"/>
      <c r="T68" s="547"/>
      <c r="U68" s="182"/>
      <c r="V68" s="616"/>
      <c r="W68" s="182"/>
      <c r="X68" s="182"/>
      <c r="Y68" s="182"/>
      <c r="Z68" s="182"/>
      <c r="AA68" s="182"/>
      <c r="AB68" s="325"/>
    </row>
    <row r="69" spans="7:28" thickBot="1" x14ac:dyDescent="0.4">
      <c r="I69" s="341"/>
      <c r="J69" s="342"/>
      <c r="K69" s="342"/>
      <c r="L69" s="342"/>
      <c r="M69" s="342"/>
      <c r="N69" s="342"/>
      <c r="O69" s="342"/>
      <c r="Q69" s="327"/>
      <c r="R69" s="328"/>
      <c r="S69" s="617"/>
      <c r="T69" s="618"/>
      <c r="U69" s="328"/>
      <c r="V69" s="619"/>
      <c r="W69" s="328"/>
      <c r="X69" s="328"/>
      <c r="Y69" s="328"/>
      <c r="Z69" s="328"/>
      <c r="AA69" s="328"/>
      <c r="AB69" s="329"/>
    </row>
    <row r="70" spans="7:28" ht="14.5" x14ac:dyDescent="0.35">
      <c r="I70" s="341"/>
      <c r="J70" s="342"/>
      <c r="K70" s="342"/>
      <c r="L70" s="342"/>
      <c r="M70" s="342"/>
      <c r="N70" s="342"/>
      <c r="O70" s="342"/>
      <c r="S70" s="1"/>
      <c r="T70" s="213"/>
      <c r="V70" s="45"/>
    </row>
    <row r="71" spans="7:28" ht="14.5" x14ac:dyDescent="0.35">
      <c r="I71" s="341"/>
      <c r="J71" s="342"/>
      <c r="K71" s="342"/>
      <c r="L71" s="342"/>
      <c r="M71" s="342"/>
      <c r="N71" s="342"/>
      <c r="O71" s="342"/>
    </row>
    <row r="72" spans="7:28" ht="14.5" x14ac:dyDescent="0.35">
      <c r="I72" s="341"/>
      <c r="J72" s="342"/>
      <c r="K72" s="342"/>
      <c r="L72" s="342"/>
      <c r="M72" s="342"/>
      <c r="N72" s="342"/>
      <c r="O72" s="342"/>
    </row>
    <row r="73" spans="7:28" ht="14.5" x14ac:dyDescent="0.35">
      <c r="I73" s="341"/>
      <c r="J73" s="342"/>
      <c r="K73" s="342"/>
      <c r="L73" s="342"/>
      <c r="M73" s="342"/>
      <c r="N73" s="342"/>
      <c r="O73" s="342"/>
    </row>
    <row r="74" spans="7:28" ht="14.5" x14ac:dyDescent="0.35"/>
    <row r="75" spans="7:28" ht="14.5" x14ac:dyDescent="0.35"/>
    <row r="76" spans="7:28" ht="14.5" x14ac:dyDescent="0.35"/>
    <row r="77" spans="7:28" ht="14.5" x14ac:dyDescent="0.35"/>
    <row r="78" spans="7:28" ht="14.5" x14ac:dyDescent="0.35"/>
    <row r="79" spans="7:28" ht="14.5" x14ac:dyDescent="0.35"/>
    <row r="80" spans="7:28" ht="14.5" x14ac:dyDescent="0.35"/>
    <row r="81" ht="14.5" x14ac:dyDescent="0.35"/>
    <row r="82" ht="14.5" x14ac:dyDescent="0.35"/>
    <row r="83" ht="14.5" x14ac:dyDescent="0.35"/>
    <row r="84" ht="14.5" x14ac:dyDescent="0.35"/>
    <row r="85" ht="14.5" x14ac:dyDescent="0.35"/>
    <row r="86" ht="14.5" x14ac:dyDescent="0.35"/>
    <row r="87" ht="14.5" x14ac:dyDescent="0.35"/>
    <row r="88" ht="14.5" x14ac:dyDescent="0.35"/>
    <row r="89" ht="14.5" x14ac:dyDescent="0.35"/>
    <row r="90" ht="14.5" x14ac:dyDescent="0.35"/>
    <row r="91" ht="14.5" x14ac:dyDescent="0.35"/>
    <row r="92" ht="14.5" x14ac:dyDescent="0.35"/>
    <row r="93" ht="14.5" x14ac:dyDescent="0.35"/>
    <row r="94" ht="14.5" x14ac:dyDescent="0.35"/>
  </sheetData>
  <mergeCells count="20">
    <mergeCell ref="AR1:BE1"/>
    <mergeCell ref="AR2:BE2"/>
    <mergeCell ref="AR37:AV38"/>
    <mergeCell ref="AD24:AG25"/>
    <mergeCell ref="AO3:AP3"/>
    <mergeCell ref="AO1:AP2"/>
    <mergeCell ref="AK1:AM1"/>
    <mergeCell ref="AR23:AV24"/>
    <mergeCell ref="R34:Z34"/>
    <mergeCell ref="AG1:AI1"/>
    <mergeCell ref="A16:B16"/>
    <mergeCell ref="G1:P2"/>
    <mergeCell ref="A18:A23"/>
    <mergeCell ref="G3:P3"/>
    <mergeCell ref="A1:F2"/>
    <mergeCell ref="A14:B14"/>
    <mergeCell ref="AC1:AE1"/>
    <mergeCell ref="Q1:AB2"/>
    <mergeCell ref="Q3:AB3"/>
    <mergeCell ref="T13:T14"/>
  </mergeCells>
  <conditionalFormatting sqref="A16:A17">
    <cfRule type="duplicateValues" dxfId="11" priority="4"/>
  </conditionalFormatting>
  <conditionalFormatting sqref="AB36:AB43">
    <cfRule type="cellIs" dxfId="10" priority="3" operator="greaterThan">
      <formula>5</formula>
    </cfRule>
  </conditionalFormatting>
  <conditionalFormatting sqref="N24:N31">
    <cfRule type="cellIs" dxfId="9" priority="1" operator="greaterThan">
      <formula>0</formula>
    </cfRule>
    <cfRule type="cellIs" dxfId="8" priority="2" operator="lessThan">
      <formula>0</formula>
    </cfRule>
  </conditionalFormatting>
  <dataValidations count="1">
    <dataValidation type="list" allowBlank="1" showInputMessage="1" showErrorMessage="1" sqref="AE30:AG30" xr:uid="{2DA23E71-F74B-46C2-A7FB-EC8F916634DA}">
      <formula1>$AI$25:$AI$35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Spinner 9">
              <controlPr defaultSize="0" autoPict="0">
                <anchor moveWithCells="1" sizeWithCells="1">
                  <from>
                    <xdr:col>44</xdr:col>
                    <xdr:colOff>2768600</xdr:colOff>
                    <xdr:row>14</xdr:row>
                    <xdr:rowOff>6350</xdr:rowOff>
                  </from>
                  <to>
                    <xdr:col>44</xdr:col>
                    <xdr:colOff>3111500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Spinner 10">
              <controlPr defaultSize="0" autoPict="0">
                <anchor moveWithCells="1" sizeWithCells="1">
                  <from>
                    <xdr:col>44</xdr:col>
                    <xdr:colOff>2768600</xdr:colOff>
                    <xdr:row>14</xdr:row>
                    <xdr:rowOff>6350</xdr:rowOff>
                  </from>
                  <to>
                    <xdr:col>44</xdr:col>
                    <xdr:colOff>3111500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A1CB5-2FF0-4A92-9000-6C62030B7B91}">
  <sheetPr codeName="Sheet3"/>
  <dimension ref="A1:O144"/>
  <sheetViews>
    <sheetView zoomScale="85" zoomScaleNormal="85" workbookViewId="0">
      <selection activeCell="H68" sqref="H68"/>
    </sheetView>
  </sheetViews>
  <sheetFormatPr defaultRowHeight="14.5" x14ac:dyDescent="0.35"/>
  <cols>
    <col min="1" max="1" width="7.26953125" customWidth="1"/>
    <col min="2" max="2" width="27.7265625" customWidth="1"/>
    <col min="3" max="3" width="24.453125" style="45" customWidth="1"/>
    <col min="4" max="4" width="25.54296875" customWidth="1"/>
    <col min="5" max="6" width="22.54296875" customWidth="1"/>
    <col min="7" max="7" width="21.453125" customWidth="1"/>
    <col min="8" max="8" width="23.453125" customWidth="1"/>
    <col min="9" max="9" width="17.7265625" customWidth="1"/>
    <col min="10" max="10" width="12.7265625" bestFit="1" customWidth="1"/>
    <col min="12" max="12" width="17.26953125" customWidth="1"/>
  </cols>
  <sheetData>
    <row r="1" spans="1:14" ht="21" x14ac:dyDescent="0.5">
      <c r="A1" s="48" t="s">
        <v>199</v>
      </c>
    </row>
    <row r="2" spans="1:14" s="46" customFormat="1" x14ac:dyDescent="0.35">
      <c r="A2" s="47" t="s">
        <v>200</v>
      </c>
      <c r="C2" s="53"/>
    </row>
    <row r="4" spans="1:14" x14ac:dyDescent="0.35">
      <c r="A4" t="s">
        <v>201</v>
      </c>
    </row>
    <row r="5" spans="1:14" x14ac:dyDescent="0.35">
      <c r="A5" t="s">
        <v>202</v>
      </c>
    </row>
    <row r="7" spans="1:14" s="46" customFormat="1" ht="18.5" x14ac:dyDescent="0.45">
      <c r="A7" s="164" t="s">
        <v>203</v>
      </c>
      <c r="C7" s="53"/>
    </row>
    <row r="8" spans="1:14" ht="29" x14ac:dyDescent="0.35">
      <c r="A8" s="49" t="s">
        <v>143</v>
      </c>
      <c r="B8" s="49" t="s">
        <v>144</v>
      </c>
      <c r="C8" s="54" t="s">
        <v>152</v>
      </c>
      <c r="D8" s="54" t="s">
        <v>204</v>
      </c>
      <c r="E8" s="70" t="s">
        <v>205</v>
      </c>
      <c r="F8" s="49" t="s">
        <v>206</v>
      </c>
      <c r="H8" s="50"/>
    </row>
    <row r="9" spans="1:14" x14ac:dyDescent="0.35">
      <c r="A9" s="43">
        <v>1</v>
      </c>
      <c r="B9" s="13" t="s">
        <v>50</v>
      </c>
      <c r="C9" s="41">
        <v>260</v>
      </c>
      <c r="D9" s="41">
        <f>35*8</f>
        <v>280</v>
      </c>
      <c r="E9" s="52">
        <v>14</v>
      </c>
      <c r="F9" s="162">
        <f>'0. Background, Market Analysis'!I26</f>
        <v>0.5357142857142857</v>
      </c>
      <c r="G9" s="51"/>
      <c r="H9" s="51"/>
      <c r="K9" s="45"/>
    </row>
    <row r="10" spans="1:14" x14ac:dyDescent="0.35">
      <c r="A10" s="43">
        <v>2</v>
      </c>
      <c r="B10" s="13" t="s">
        <v>52</v>
      </c>
      <c r="C10" s="41">
        <v>260</v>
      </c>
      <c r="D10" s="41">
        <f t="shared" ref="D10:D16" si="0">35*8</f>
        <v>280</v>
      </c>
      <c r="E10" s="52">
        <v>19</v>
      </c>
      <c r="F10" s="162">
        <f>'0. Background, Market Analysis'!I27</f>
        <v>0.55263157894736836</v>
      </c>
      <c r="G10" s="51"/>
      <c r="H10" s="62" t="s">
        <v>207</v>
      </c>
      <c r="I10" s="63" cm="1">
        <f t="array" ref="I10">SUMPRODUCT(C9:C16,E9:E16,F9:F16*10)</f>
        <v>161480</v>
      </c>
      <c r="K10" s="45"/>
    </row>
    <row r="11" spans="1:14" x14ac:dyDescent="0.35">
      <c r="A11" s="43">
        <v>3</v>
      </c>
      <c r="B11" s="13" t="s">
        <v>54</v>
      </c>
      <c r="C11" s="41">
        <v>260</v>
      </c>
      <c r="D11" s="41">
        <f t="shared" si="0"/>
        <v>280</v>
      </c>
      <c r="E11" s="52">
        <v>14</v>
      </c>
      <c r="F11" s="162">
        <f>'0. Background, Market Analysis'!I28</f>
        <v>0.54999999999999993</v>
      </c>
      <c r="G11" s="51"/>
      <c r="H11" s="62" t="s">
        <v>208</v>
      </c>
      <c r="I11" s="63">
        <f>SUMPRODUCT(D9:D16,E9:E16)</f>
        <v>30240</v>
      </c>
      <c r="K11" s="45"/>
    </row>
    <row r="12" spans="1:14" x14ac:dyDescent="0.35">
      <c r="A12" s="43">
        <v>4</v>
      </c>
      <c r="B12" s="13" t="s">
        <v>41</v>
      </c>
      <c r="C12" s="41">
        <v>260</v>
      </c>
      <c r="D12" s="41">
        <f t="shared" si="0"/>
        <v>280</v>
      </c>
      <c r="E12" s="52">
        <v>16</v>
      </c>
      <c r="F12" s="162">
        <f>'0. Background, Market Analysis'!I22</f>
        <v>0.70624999999999993</v>
      </c>
      <c r="G12" s="51"/>
      <c r="H12" s="62" t="s">
        <v>140</v>
      </c>
      <c r="I12" s="64">
        <f>'0. Background, Market Analysis'!J45</f>
        <v>95400</v>
      </c>
      <c r="K12" s="45"/>
    </row>
    <row r="13" spans="1:14" ht="15.5" x14ac:dyDescent="0.35">
      <c r="A13" s="43">
        <v>5</v>
      </c>
      <c r="B13" s="13" t="s">
        <v>43</v>
      </c>
      <c r="C13" s="41">
        <v>260</v>
      </c>
      <c r="D13" s="41">
        <f t="shared" si="0"/>
        <v>280</v>
      </c>
      <c r="E13" s="52">
        <v>3</v>
      </c>
      <c r="F13" s="162">
        <f>'0. Background, Market Analysis'!I23</f>
        <v>0.33333333333333331</v>
      </c>
      <c r="G13" s="51"/>
      <c r="J13" s="60"/>
      <c r="K13" s="45"/>
      <c r="L13" s="60"/>
      <c r="M13" s="60"/>
      <c r="N13" s="60"/>
    </row>
    <row r="14" spans="1:14" x14ac:dyDescent="0.35">
      <c r="A14" s="43">
        <v>6</v>
      </c>
      <c r="B14" s="13" t="s">
        <v>46</v>
      </c>
      <c r="C14" s="41">
        <v>260</v>
      </c>
      <c r="D14" s="41">
        <f t="shared" si="0"/>
        <v>280</v>
      </c>
      <c r="E14" s="52">
        <v>1</v>
      </c>
      <c r="F14" s="162">
        <f>'0. Background, Market Analysis'!I24</f>
        <v>0.5</v>
      </c>
      <c r="G14" s="51"/>
      <c r="H14" s="62" t="s">
        <v>209</v>
      </c>
      <c r="I14" s="64">
        <f>I10-I11-I12</f>
        <v>35840</v>
      </c>
      <c r="K14" s="45"/>
    </row>
    <row r="15" spans="1:14" x14ac:dyDescent="0.35">
      <c r="A15" s="43">
        <v>7</v>
      </c>
      <c r="B15" s="13" t="s">
        <v>48</v>
      </c>
      <c r="C15" s="41">
        <v>260</v>
      </c>
      <c r="D15" s="41">
        <f t="shared" si="0"/>
        <v>280</v>
      </c>
      <c r="E15" s="52">
        <v>30</v>
      </c>
      <c r="F15" s="162">
        <f>'0. Background, Market Analysis'!I25</f>
        <v>0.63</v>
      </c>
      <c r="G15" s="51"/>
      <c r="K15" s="45"/>
    </row>
    <row r="16" spans="1:14" x14ac:dyDescent="0.35">
      <c r="A16" s="43">
        <v>8</v>
      </c>
      <c r="B16" s="13" t="s">
        <v>56</v>
      </c>
      <c r="C16" s="41">
        <v>180</v>
      </c>
      <c r="D16" s="41">
        <f t="shared" si="0"/>
        <v>280</v>
      </c>
      <c r="E16" s="165">
        <v>11</v>
      </c>
      <c r="F16" s="162">
        <f>'0. Background, Market Analysis'!I29</f>
        <v>0.61818181818181817</v>
      </c>
      <c r="G16" s="51"/>
      <c r="K16" s="45"/>
    </row>
    <row r="18" spans="1:7" s="46" customFormat="1" ht="18.5" x14ac:dyDescent="0.45">
      <c r="A18" s="164" t="s">
        <v>210</v>
      </c>
      <c r="C18" s="53"/>
    </row>
    <row r="20" spans="1:7" x14ac:dyDescent="0.35">
      <c r="B20" s="50" t="s">
        <v>211</v>
      </c>
    </row>
    <row r="21" spans="1:7" x14ac:dyDescent="0.35">
      <c r="B21" s="542" t="s">
        <v>34</v>
      </c>
      <c r="C21" s="273" t="s">
        <v>212</v>
      </c>
      <c r="D21" s="542" t="s">
        <v>213</v>
      </c>
      <c r="E21" s="549" t="s">
        <v>214</v>
      </c>
      <c r="F21" s="66" t="s">
        <v>215</v>
      </c>
      <c r="G21" s="66" t="s">
        <v>216</v>
      </c>
    </row>
    <row r="22" spans="1:7" x14ac:dyDescent="0.35">
      <c r="B22" s="689" t="s">
        <v>175</v>
      </c>
      <c r="C22" s="44" t="s">
        <v>17</v>
      </c>
      <c r="D22" s="31">
        <v>200</v>
      </c>
      <c r="E22" s="33">
        <v>0.6</v>
      </c>
      <c r="F22" s="687">
        <f>SLOPE(E22:E25,D22:D25)</f>
        <v>-2.327485380116959E-3</v>
      </c>
      <c r="G22" s="687">
        <f>INTERCEPT(E22:E25,D22:D25)</f>
        <v>1.2145029239766081</v>
      </c>
    </row>
    <row r="23" spans="1:7" x14ac:dyDescent="0.35">
      <c r="B23" s="686"/>
      <c r="C23" s="12" t="s">
        <v>217</v>
      </c>
      <c r="D23" s="32">
        <v>190</v>
      </c>
      <c r="E23" s="34">
        <v>0.9</v>
      </c>
      <c r="F23" s="688"/>
      <c r="G23" s="688"/>
    </row>
    <row r="24" spans="1:7" x14ac:dyDescent="0.35">
      <c r="B24" s="686"/>
      <c r="C24" s="12" t="s">
        <v>29</v>
      </c>
      <c r="D24" s="32">
        <v>260</v>
      </c>
      <c r="E24" s="34">
        <v>0.7</v>
      </c>
      <c r="F24" s="688"/>
      <c r="G24" s="688"/>
    </row>
    <row r="25" spans="1:7" x14ac:dyDescent="0.35">
      <c r="B25" s="686"/>
      <c r="C25" s="12" t="s">
        <v>30</v>
      </c>
      <c r="D25" s="32">
        <v>260</v>
      </c>
      <c r="E25" s="35">
        <v>0.54</v>
      </c>
      <c r="F25" s="689"/>
      <c r="G25" s="689"/>
    </row>
    <row r="26" spans="1:7" x14ac:dyDescent="0.35">
      <c r="B26" s="690" t="s">
        <v>176</v>
      </c>
      <c r="C26" s="12" t="s">
        <v>17</v>
      </c>
      <c r="D26" s="32">
        <v>230</v>
      </c>
      <c r="E26" s="34">
        <v>0.6</v>
      </c>
      <c r="F26" s="687">
        <f>SLOPE(E26:E29,D26:D29)</f>
        <v>-1.9999999999999979E-3</v>
      </c>
      <c r="G26" s="687">
        <f>INTERCEPT(E26:E29,D26:D29)</f>
        <v>1.0599999999999996</v>
      </c>
    </row>
    <row r="27" spans="1:7" x14ac:dyDescent="0.35">
      <c r="B27" s="690"/>
      <c r="C27" s="12" t="s">
        <v>217</v>
      </c>
      <c r="D27" s="32">
        <v>230</v>
      </c>
      <c r="E27" s="34">
        <v>0.6</v>
      </c>
      <c r="F27" s="688"/>
      <c r="G27" s="688"/>
    </row>
    <row r="28" spans="1:7" x14ac:dyDescent="0.35">
      <c r="B28" s="690"/>
      <c r="C28" s="12" t="s">
        <v>29</v>
      </c>
      <c r="D28" s="32">
        <v>260</v>
      </c>
      <c r="E28" s="34">
        <v>0.53</v>
      </c>
      <c r="F28" s="688"/>
      <c r="G28" s="688"/>
    </row>
    <row r="29" spans="1:7" x14ac:dyDescent="0.35">
      <c r="B29" s="690"/>
      <c r="C29" s="12" t="s">
        <v>30</v>
      </c>
      <c r="D29" s="32">
        <v>260</v>
      </c>
      <c r="E29" s="34">
        <v>0.55000000000000004</v>
      </c>
      <c r="F29" s="689"/>
      <c r="G29" s="689"/>
    </row>
    <row r="30" spans="1:7" x14ac:dyDescent="0.35">
      <c r="B30" s="686" t="s">
        <v>177</v>
      </c>
      <c r="C30" s="12" t="s">
        <v>17</v>
      </c>
      <c r="D30" s="32">
        <v>250</v>
      </c>
      <c r="E30" s="33">
        <v>0.5</v>
      </c>
      <c r="F30" s="687">
        <f>SLOPE(E30:E33,D30:D33)</f>
        <v>-1.2499999999999995E-2</v>
      </c>
      <c r="G30" s="687">
        <f>INTERCEPT(E30:E33,D30:D33)</f>
        <v>3.6749999999999989</v>
      </c>
    </row>
    <row r="31" spans="1:7" x14ac:dyDescent="0.35">
      <c r="B31" s="686"/>
      <c r="C31" s="12" t="s">
        <v>217</v>
      </c>
      <c r="D31" s="32">
        <v>250</v>
      </c>
      <c r="E31" s="34">
        <v>0.6</v>
      </c>
      <c r="F31" s="688"/>
      <c r="G31" s="688"/>
    </row>
    <row r="32" spans="1:7" x14ac:dyDescent="0.35">
      <c r="B32" s="686"/>
      <c r="C32" s="12" t="s">
        <v>29</v>
      </c>
      <c r="D32" s="32">
        <v>260</v>
      </c>
      <c r="E32" s="34">
        <v>0.3</v>
      </c>
      <c r="F32" s="688"/>
      <c r="G32" s="688"/>
    </row>
    <row r="33" spans="2:7" x14ac:dyDescent="0.35">
      <c r="B33" s="686"/>
      <c r="C33" s="12" t="s">
        <v>30</v>
      </c>
      <c r="D33" s="32">
        <v>260</v>
      </c>
      <c r="E33" s="35">
        <v>0.55000000000000004</v>
      </c>
      <c r="F33" s="689"/>
      <c r="G33" s="689"/>
    </row>
    <row r="34" spans="2:7" x14ac:dyDescent="0.35">
      <c r="B34" s="686" t="s">
        <v>41</v>
      </c>
      <c r="C34" s="12" t="s">
        <v>17</v>
      </c>
      <c r="D34" s="32">
        <v>278</v>
      </c>
      <c r="E34" s="36">
        <v>0.55000000000000004</v>
      </c>
      <c r="F34" s="687">
        <f>SLOPE(E34:E37,D34:D37)</f>
        <v>-6.5629322268326408E-3</v>
      </c>
      <c r="G34" s="687">
        <f>INTERCEPT(E34:E37,D34:D37)</f>
        <v>2.3805809128630706</v>
      </c>
    </row>
    <row r="35" spans="2:7" x14ac:dyDescent="0.35">
      <c r="B35" s="686"/>
      <c r="C35" s="12" t="s">
        <v>217</v>
      </c>
      <c r="D35" s="32">
        <v>240</v>
      </c>
      <c r="E35" s="36">
        <v>0.8</v>
      </c>
      <c r="F35" s="688"/>
      <c r="G35" s="688"/>
    </row>
    <row r="36" spans="2:7" x14ac:dyDescent="0.35">
      <c r="B36" s="686"/>
      <c r="C36" s="12" t="s">
        <v>29</v>
      </c>
      <c r="D36" s="32">
        <v>260</v>
      </c>
      <c r="E36" s="36">
        <v>0.65</v>
      </c>
      <c r="F36" s="688"/>
      <c r="G36" s="688"/>
    </row>
    <row r="37" spans="2:7" x14ac:dyDescent="0.35">
      <c r="B37" s="686"/>
      <c r="C37" s="12" t="s">
        <v>30</v>
      </c>
      <c r="D37" s="32">
        <v>260</v>
      </c>
      <c r="E37" s="37">
        <v>0.71</v>
      </c>
      <c r="F37" s="689"/>
      <c r="G37" s="689"/>
    </row>
    <row r="38" spans="2:7" x14ac:dyDescent="0.35">
      <c r="B38" s="686" t="s">
        <v>43</v>
      </c>
      <c r="C38" s="12" t="s">
        <v>17</v>
      </c>
      <c r="D38" s="29">
        <v>278</v>
      </c>
      <c r="E38" s="307">
        <v>0.65</v>
      </c>
      <c r="F38" s="687">
        <f>SLOPE(E38:E41,D38:D41)</f>
        <v>-1.6390041493775914E-3</v>
      </c>
      <c r="G38" s="687">
        <f>INTERCEPT(E38:E41,D38:D41)</f>
        <v>0.98282157676348492</v>
      </c>
    </row>
    <row r="39" spans="2:7" x14ac:dyDescent="0.35">
      <c r="B39" s="686"/>
      <c r="C39" s="12" t="s">
        <v>217</v>
      </c>
      <c r="D39" s="29">
        <v>240</v>
      </c>
      <c r="E39" s="307">
        <v>0.7</v>
      </c>
      <c r="F39" s="688"/>
      <c r="G39" s="688"/>
    </row>
    <row r="40" spans="2:7" x14ac:dyDescent="0.35">
      <c r="B40" s="686"/>
      <c r="C40" s="12" t="s">
        <v>29</v>
      </c>
      <c r="D40" s="29">
        <v>260</v>
      </c>
      <c r="E40" s="307">
        <v>0.55000000000000004</v>
      </c>
      <c r="F40" s="688"/>
      <c r="G40" s="688"/>
    </row>
    <row r="41" spans="2:7" x14ac:dyDescent="0.35">
      <c r="B41" s="686"/>
      <c r="C41" s="12" t="s">
        <v>30</v>
      </c>
      <c r="D41" s="29">
        <v>260</v>
      </c>
      <c r="E41" s="307">
        <v>0.33</v>
      </c>
      <c r="F41" s="689"/>
      <c r="G41" s="689"/>
    </row>
    <row r="42" spans="2:7" x14ac:dyDescent="0.35">
      <c r="B42" s="686" t="s">
        <v>46</v>
      </c>
      <c r="C42" s="12" t="s">
        <v>17</v>
      </c>
      <c r="D42" s="29">
        <v>278</v>
      </c>
      <c r="E42" s="307">
        <v>0.7</v>
      </c>
      <c r="F42" s="687">
        <f>SLOPE(E42:E45,D42:D45)</f>
        <v>3.8035961272475764E-3</v>
      </c>
      <c r="G42" s="687">
        <f>INTERCEPT(E42:E45,D42:D45)</f>
        <v>-0.41203319502074609</v>
      </c>
    </row>
    <row r="43" spans="2:7" x14ac:dyDescent="0.35">
      <c r="B43" s="686"/>
      <c r="C43" s="12" t="s">
        <v>217</v>
      </c>
      <c r="D43" s="29">
        <v>240</v>
      </c>
      <c r="E43" s="307">
        <v>0.55000000000000004</v>
      </c>
      <c r="F43" s="688"/>
      <c r="G43" s="688"/>
    </row>
    <row r="44" spans="2:7" x14ac:dyDescent="0.35">
      <c r="B44" s="686"/>
      <c r="C44" s="12" t="s">
        <v>29</v>
      </c>
      <c r="D44" s="29">
        <v>260</v>
      </c>
      <c r="E44" s="307">
        <v>0.55000000000000004</v>
      </c>
      <c r="F44" s="688"/>
      <c r="G44" s="688"/>
    </row>
    <row r="45" spans="2:7" x14ac:dyDescent="0.35">
      <c r="B45" s="686"/>
      <c r="C45" s="12" t="s">
        <v>30</v>
      </c>
      <c r="D45" s="29">
        <v>260</v>
      </c>
      <c r="E45" s="307">
        <v>0.5</v>
      </c>
      <c r="F45" s="689"/>
      <c r="G45" s="689"/>
    </row>
    <row r="46" spans="2:7" x14ac:dyDescent="0.35">
      <c r="B46" s="686" t="s">
        <v>48</v>
      </c>
      <c r="C46" s="12" t="s">
        <v>17</v>
      </c>
      <c r="D46" s="29">
        <v>278</v>
      </c>
      <c r="E46" s="307">
        <v>0.55000000000000004</v>
      </c>
      <c r="F46" s="687">
        <f>SLOPE(E46:E49,D46:D49)</f>
        <v>-3.9764868603042848E-3</v>
      </c>
      <c r="G46" s="687">
        <f>INTERCEPT(E46:E49,D46:D49)</f>
        <v>1.6443983402489619</v>
      </c>
    </row>
    <row r="47" spans="2:7" x14ac:dyDescent="0.35">
      <c r="B47" s="686"/>
      <c r="C47" s="12" t="s">
        <v>217</v>
      </c>
      <c r="D47" s="29">
        <v>240</v>
      </c>
      <c r="E47" s="307">
        <v>0.7</v>
      </c>
      <c r="F47" s="688"/>
      <c r="G47" s="688"/>
    </row>
    <row r="48" spans="2:7" x14ac:dyDescent="0.35">
      <c r="B48" s="686"/>
      <c r="C48" s="12" t="s">
        <v>29</v>
      </c>
      <c r="D48" s="29">
        <v>260</v>
      </c>
      <c r="E48" s="307">
        <v>0.7</v>
      </c>
      <c r="F48" s="688"/>
      <c r="G48" s="688"/>
    </row>
    <row r="49" spans="1:15" x14ac:dyDescent="0.35">
      <c r="B49" s="686"/>
      <c r="C49" s="12" t="s">
        <v>30</v>
      </c>
      <c r="D49" s="29">
        <v>260</v>
      </c>
      <c r="E49" s="307">
        <v>0.5</v>
      </c>
      <c r="F49" s="689"/>
      <c r="G49" s="689"/>
    </row>
    <row r="50" spans="1:15" x14ac:dyDescent="0.35">
      <c r="B50" s="690" t="s">
        <v>56</v>
      </c>
      <c r="C50" s="12" t="s">
        <v>17</v>
      </c>
      <c r="D50" s="29">
        <v>210</v>
      </c>
      <c r="E50" s="307">
        <v>0.52</v>
      </c>
      <c r="F50" s="687">
        <f>SLOPE(E50:E53,D50:D53)</f>
        <v>-2.6666666666666666E-3</v>
      </c>
      <c r="G50" s="687">
        <f>INTERCEPT(E50:E53,D50:D53)</f>
        <v>1.0933333333333333</v>
      </c>
    </row>
    <row r="51" spans="1:15" x14ac:dyDescent="0.35">
      <c r="B51" s="690"/>
      <c r="C51" s="12" t="s">
        <v>217</v>
      </c>
      <c r="D51" s="29">
        <v>180</v>
      </c>
      <c r="E51" s="307">
        <v>0.6</v>
      </c>
      <c r="F51" s="688"/>
      <c r="G51" s="688"/>
    </row>
    <row r="52" spans="1:15" x14ac:dyDescent="0.35">
      <c r="B52" s="690"/>
      <c r="C52" s="12" t="s">
        <v>29</v>
      </c>
      <c r="D52" s="29">
        <v>200</v>
      </c>
      <c r="E52" s="307">
        <v>0.57999999999999996</v>
      </c>
      <c r="F52" s="688"/>
      <c r="G52" s="688"/>
    </row>
    <row r="53" spans="1:15" x14ac:dyDescent="0.35">
      <c r="B53" s="690"/>
      <c r="C53" s="12" t="s">
        <v>30</v>
      </c>
      <c r="D53" s="29">
        <v>180</v>
      </c>
      <c r="E53" s="38">
        <v>0.62</v>
      </c>
      <c r="F53" s="689"/>
      <c r="G53" s="689"/>
    </row>
    <row r="54" spans="1:15" ht="15" thickBot="1" x14ac:dyDescent="0.4"/>
    <row r="55" spans="1:15" x14ac:dyDescent="0.35">
      <c r="A55" s="267" t="s">
        <v>218</v>
      </c>
      <c r="B55" s="268"/>
      <c r="C55" s="269"/>
      <c r="D55" s="267" t="s">
        <v>219</v>
      </c>
      <c r="E55" s="268"/>
      <c r="F55" s="270"/>
      <c r="G55" s="267" t="s">
        <v>220</v>
      </c>
      <c r="H55" s="271" t="s">
        <v>221</v>
      </c>
    </row>
    <row r="56" spans="1:15" ht="29" x14ac:dyDescent="0.35">
      <c r="A56" s="272" t="s">
        <v>143</v>
      </c>
      <c r="B56" s="273" t="s">
        <v>144</v>
      </c>
      <c r="C56" s="274" t="s">
        <v>222</v>
      </c>
      <c r="D56" s="275"/>
      <c r="F56" s="276" t="s">
        <v>223</v>
      </c>
      <c r="G56" s="277" t="s">
        <v>204</v>
      </c>
      <c r="H56" s="278" t="s">
        <v>224</v>
      </c>
      <c r="L56" s="50"/>
    </row>
    <row r="57" spans="1:15" x14ac:dyDescent="0.35">
      <c r="A57" s="279">
        <v>1</v>
      </c>
      <c r="B57" s="13" t="s">
        <v>50</v>
      </c>
      <c r="C57" s="280">
        <v>261</v>
      </c>
      <c r="D57" s="275"/>
      <c r="E57" s="45" t="s">
        <v>182</v>
      </c>
      <c r="F57" s="280">
        <v>300</v>
      </c>
      <c r="G57" s="281">
        <f t="shared" ref="G57:G64" si="1">35*8</f>
        <v>280</v>
      </c>
      <c r="H57" s="282">
        <f t="shared" ref="H57:H64" si="2">E9</f>
        <v>14</v>
      </c>
    </row>
    <row r="58" spans="1:15" x14ac:dyDescent="0.35">
      <c r="A58" s="279">
        <v>2</v>
      </c>
      <c r="B58" s="13" t="s">
        <v>52</v>
      </c>
      <c r="C58" s="280">
        <v>265</v>
      </c>
      <c r="D58" s="275"/>
      <c r="E58" s="45" t="s">
        <v>182</v>
      </c>
      <c r="F58" s="280">
        <v>300</v>
      </c>
      <c r="G58" s="281">
        <f t="shared" si="1"/>
        <v>280</v>
      </c>
      <c r="H58" s="282">
        <f t="shared" si="2"/>
        <v>19</v>
      </c>
    </row>
    <row r="59" spans="1:15" x14ac:dyDescent="0.35">
      <c r="A59" s="279">
        <v>3</v>
      </c>
      <c r="B59" s="13" t="s">
        <v>54</v>
      </c>
      <c r="C59" s="280">
        <v>214</v>
      </c>
      <c r="D59" s="275"/>
      <c r="E59" s="45" t="s">
        <v>182</v>
      </c>
      <c r="F59" s="280">
        <v>300</v>
      </c>
      <c r="G59" s="281">
        <f t="shared" si="1"/>
        <v>280</v>
      </c>
      <c r="H59" s="282">
        <f t="shared" si="2"/>
        <v>14</v>
      </c>
    </row>
    <row r="60" spans="1:15" x14ac:dyDescent="0.35">
      <c r="A60" s="279">
        <v>4</v>
      </c>
      <c r="B60" s="13" t="s">
        <v>41</v>
      </c>
      <c r="C60" s="280">
        <v>211</v>
      </c>
      <c r="D60" s="275"/>
      <c r="E60" s="45" t="s">
        <v>182</v>
      </c>
      <c r="F60" s="280">
        <v>300</v>
      </c>
      <c r="G60" s="281">
        <f t="shared" si="1"/>
        <v>280</v>
      </c>
      <c r="H60" s="282">
        <f t="shared" si="2"/>
        <v>16</v>
      </c>
    </row>
    <row r="61" spans="1:15" x14ac:dyDescent="0.35">
      <c r="A61" s="279">
        <v>5</v>
      </c>
      <c r="B61" s="13" t="s">
        <v>43</v>
      </c>
      <c r="C61" s="280">
        <v>300</v>
      </c>
      <c r="D61" s="275"/>
      <c r="E61" s="45" t="s">
        <v>182</v>
      </c>
      <c r="F61" s="280">
        <v>300</v>
      </c>
      <c r="G61" s="281">
        <f t="shared" si="1"/>
        <v>280</v>
      </c>
      <c r="H61" s="282">
        <f t="shared" si="2"/>
        <v>3</v>
      </c>
    </row>
    <row r="62" spans="1:15" x14ac:dyDescent="0.35">
      <c r="A62" s="279">
        <v>6</v>
      </c>
      <c r="B62" s="13" t="s">
        <v>46</v>
      </c>
      <c r="C62" s="280">
        <v>300</v>
      </c>
      <c r="D62" s="275"/>
      <c r="E62" s="45" t="s">
        <v>182</v>
      </c>
      <c r="F62" s="280">
        <v>300</v>
      </c>
      <c r="G62" s="281">
        <f t="shared" si="1"/>
        <v>280</v>
      </c>
      <c r="H62" s="282">
        <f t="shared" si="2"/>
        <v>1</v>
      </c>
    </row>
    <row r="63" spans="1:15" x14ac:dyDescent="0.35">
      <c r="A63" s="279">
        <v>7</v>
      </c>
      <c r="B63" s="13" t="s">
        <v>48</v>
      </c>
      <c r="C63" s="280">
        <v>207</v>
      </c>
      <c r="D63" s="275"/>
      <c r="E63" s="45" t="s">
        <v>182</v>
      </c>
      <c r="F63" s="280">
        <v>300</v>
      </c>
      <c r="G63" s="281">
        <f t="shared" si="1"/>
        <v>280</v>
      </c>
      <c r="H63" s="282">
        <f t="shared" si="2"/>
        <v>30</v>
      </c>
      <c r="M63" s="30"/>
      <c r="N63" s="30"/>
      <c r="O63" s="1"/>
    </row>
    <row r="64" spans="1:15" x14ac:dyDescent="0.35">
      <c r="A64" s="279">
        <v>8</v>
      </c>
      <c r="B64" s="13" t="s">
        <v>56</v>
      </c>
      <c r="C64" s="280">
        <v>205</v>
      </c>
      <c r="D64" s="275"/>
      <c r="E64" s="45" t="s">
        <v>182</v>
      </c>
      <c r="F64" s="280">
        <v>300</v>
      </c>
      <c r="G64" s="281">
        <f t="shared" si="1"/>
        <v>280</v>
      </c>
      <c r="H64" s="282">
        <f t="shared" si="2"/>
        <v>11</v>
      </c>
      <c r="M64" s="30"/>
      <c r="N64" s="30"/>
      <c r="O64" s="1"/>
    </row>
    <row r="65" spans="1:12" x14ac:dyDescent="0.35">
      <c r="A65" s="275"/>
      <c r="B65" s="1"/>
      <c r="C65" s="283"/>
      <c r="D65" s="284"/>
      <c r="E65" s="45"/>
      <c r="F65" s="285"/>
      <c r="G65" s="286"/>
      <c r="H65" s="287"/>
      <c r="J65" s="30"/>
      <c r="K65" s="30"/>
      <c r="L65" s="1"/>
    </row>
    <row r="66" spans="1:12" x14ac:dyDescent="0.35">
      <c r="A66" s="275"/>
      <c r="B66" s="62" t="s">
        <v>139</v>
      </c>
      <c r="C66" s="288" cm="1">
        <f t="array" ref="C66">SUMPRODUCT(C57:C64,D67:D74*10,H57:H64)</f>
        <v>181665.99973502223</v>
      </c>
      <c r="D66" s="289" t="s">
        <v>214</v>
      </c>
      <c r="F66" s="290" t="s">
        <v>225</v>
      </c>
      <c r="G66" s="286"/>
      <c r="H66" s="287"/>
      <c r="J66" s="30"/>
      <c r="K66" s="30"/>
      <c r="L66" s="1"/>
    </row>
    <row r="67" spans="1:12" x14ac:dyDescent="0.35">
      <c r="A67" s="275"/>
      <c r="B67" s="62" t="s">
        <v>208</v>
      </c>
      <c r="C67" s="288">
        <f>SUMPRODUCT(G57:G64,H57:H64)</f>
        <v>30240</v>
      </c>
      <c r="D67" s="291">
        <f>C57*F22+G22</f>
        <v>0.60702923976608181</v>
      </c>
      <c r="E67" s="45" t="s">
        <v>182</v>
      </c>
      <c r="F67" s="292">
        <v>1</v>
      </c>
      <c r="G67" s="286"/>
      <c r="H67" s="287"/>
      <c r="J67" s="30"/>
      <c r="K67" s="30"/>
      <c r="L67" s="1"/>
    </row>
    <row r="68" spans="1:12" x14ac:dyDescent="0.35">
      <c r="A68" s="275"/>
      <c r="B68" s="62" t="s">
        <v>140</v>
      </c>
      <c r="C68" s="293">
        <f>'0. Background, Market Analysis'!J45</f>
        <v>95400</v>
      </c>
      <c r="D68" s="291">
        <f>C58*F26+G26</f>
        <v>0.53000000000000014</v>
      </c>
      <c r="E68" s="45" t="s">
        <v>182</v>
      </c>
      <c r="F68" s="292">
        <v>1</v>
      </c>
      <c r="G68" s="286"/>
      <c r="H68" s="287"/>
      <c r="J68" s="30"/>
      <c r="K68" s="30"/>
      <c r="L68" s="1"/>
    </row>
    <row r="69" spans="1:12" x14ac:dyDescent="0.35">
      <c r="A69" s="275"/>
      <c r="B69" s="181" t="s">
        <v>226</v>
      </c>
      <c r="C69" s="293">
        <f>C66-C67-C68</f>
        <v>56025.999735022226</v>
      </c>
      <c r="D69" s="291">
        <f>C59*F30+G30</f>
        <v>1</v>
      </c>
      <c r="E69" s="45" t="s">
        <v>182</v>
      </c>
      <c r="F69" s="292">
        <v>1</v>
      </c>
      <c r="G69" s="286"/>
      <c r="H69" s="287"/>
      <c r="J69" s="30"/>
      <c r="K69" s="30"/>
      <c r="L69" s="1"/>
    </row>
    <row r="70" spans="1:12" x14ac:dyDescent="0.35">
      <c r="A70" s="275"/>
      <c r="C70" s="283"/>
      <c r="D70" s="291">
        <f>C60*F34+G34</f>
        <v>0.9958022130013835</v>
      </c>
      <c r="E70" s="45" t="s">
        <v>182</v>
      </c>
      <c r="F70" s="292">
        <v>1</v>
      </c>
      <c r="G70" s="286"/>
      <c r="H70" s="287"/>
      <c r="J70" s="30"/>
      <c r="K70" s="30"/>
      <c r="L70" s="1"/>
    </row>
    <row r="71" spans="1:12" x14ac:dyDescent="0.35">
      <c r="A71" s="275"/>
      <c r="C71" s="294"/>
      <c r="D71" s="291">
        <f>C61*F38+G38</f>
        <v>0.49112033195020749</v>
      </c>
      <c r="E71" s="45" t="s">
        <v>182</v>
      </c>
      <c r="F71" s="292">
        <v>1</v>
      </c>
      <c r="G71" s="286"/>
      <c r="H71" s="287"/>
      <c r="J71" s="30"/>
      <c r="K71" s="30"/>
      <c r="L71" s="1"/>
    </row>
    <row r="72" spans="1:12" x14ac:dyDescent="0.35">
      <c r="A72" s="275"/>
      <c r="C72" s="283"/>
      <c r="D72" s="291">
        <f>C62*F38+G38</f>
        <v>0.49112033195020749</v>
      </c>
      <c r="E72" s="45" t="s">
        <v>182</v>
      </c>
      <c r="F72" s="292">
        <v>1</v>
      </c>
      <c r="G72" s="286"/>
      <c r="H72" s="287"/>
      <c r="J72" s="30"/>
      <c r="K72" s="30"/>
      <c r="L72" s="1"/>
    </row>
    <row r="73" spans="1:12" x14ac:dyDescent="0.35">
      <c r="A73" s="275"/>
      <c r="B73" s="1"/>
      <c r="C73" s="283"/>
      <c r="D73" s="291">
        <f>C63*F46+G46</f>
        <v>0.82126556016597496</v>
      </c>
      <c r="E73" s="45" t="s">
        <v>182</v>
      </c>
      <c r="F73" s="292">
        <v>1</v>
      </c>
      <c r="G73" s="286"/>
      <c r="H73" s="287"/>
      <c r="J73" s="30"/>
      <c r="K73" s="30"/>
      <c r="L73" s="1"/>
    </row>
    <row r="74" spans="1:12" ht="15" thickBot="1" x14ac:dyDescent="0.4">
      <c r="A74" s="295"/>
      <c r="B74" s="296"/>
      <c r="C74" s="297"/>
      <c r="D74" s="298">
        <f>C64*F50+G50</f>
        <v>0.54666666666666663</v>
      </c>
      <c r="E74" s="299" t="s">
        <v>182</v>
      </c>
      <c r="F74" s="300">
        <v>1</v>
      </c>
      <c r="G74" s="301"/>
      <c r="H74" s="302"/>
      <c r="J74" s="30"/>
      <c r="K74" s="30"/>
      <c r="L74" s="1"/>
    </row>
    <row r="75" spans="1:12" x14ac:dyDescent="0.35">
      <c r="G75" s="30" t="s">
        <v>227</v>
      </c>
      <c r="J75" s="1"/>
      <c r="K75" s="1"/>
      <c r="L75" s="1"/>
    </row>
    <row r="76" spans="1:12" s="46" customFormat="1" ht="18.5" x14ac:dyDescent="0.45">
      <c r="A76" s="164" t="s">
        <v>228</v>
      </c>
      <c r="C76" s="53"/>
    </row>
    <row r="77" spans="1:12" x14ac:dyDescent="0.35">
      <c r="G77" s="30"/>
      <c r="J77" s="1"/>
      <c r="K77" s="1"/>
      <c r="L77" s="1"/>
    </row>
    <row r="78" spans="1:12" x14ac:dyDescent="0.35">
      <c r="A78" s="55" t="s">
        <v>143</v>
      </c>
      <c r="B78" s="55" t="s">
        <v>144</v>
      </c>
      <c r="C78" s="54" t="s">
        <v>229</v>
      </c>
      <c r="D78" s="49" t="s">
        <v>230</v>
      </c>
      <c r="E78" s="56" t="s">
        <v>231</v>
      </c>
      <c r="F78" s="55" t="s">
        <v>232</v>
      </c>
      <c r="G78" s="56" t="s">
        <v>233</v>
      </c>
      <c r="I78" s="212"/>
      <c r="J78" s="303" t="s">
        <v>161</v>
      </c>
      <c r="K78" s="102"/>
      <c r="L78" s="1"/>
    </row>
    <row r="79" spans="1:12" x14ac:dyDescent="0.35">
      <c r="A79" s="43">
        <v>1</v>
      </c>
      <c r="B79" s="13" t="s">
        <v>50</v>
      </c>
      <c r="C79" s="41">
        <v>260</v>
      </c>
      <c r="D79" s="61">
        <v>0.54</v>
      </c>
      <c r="E79" s="166">
        <v>261</v>
      </c>
      <c r="F79" s="65">
        <v>0.60702923976608181</v>
      </c>
      <c r="G79" s="65">
        <f>(E79-C79)/C79</f>
        <v>3.8461538461538464E-3</v>
      </c>
      <c r="I79" s="306" t="s">
        <v>174</v>
      </c>
      <c r="J79" s="304">
        <f>I14</f>
        <v>35840</v>
      </c>
      <c r="K79" s="1"/>
      <c r="L79" s="1"/>
    </row>
    <row r="80" spans="1:12" x14ac:dyDescent="0.35">
      <c r="A80" s="43">
        <v>2</v>
      </c>
      <c r="B80" s="13" t="s">
        <v>52</v>
      </c>
      <c r="C80" s="41">
        <v>260</v>
      </c>
      <c r="D80" s="61">
        <v>0.55000000000000004</v>
      </c>
      <c r="E80" s="166">
        <v>265</v>
      </c>
      <c r="F80" s="65">
        <v>0.53000000000000014</v>
      </c>
      <c r="G80" s="65">
        <f t="shared" ref="G80:G86" si="3">(E80-C80)/C80</f>
        <v>1.9230769230769232E-2</v>
      </c>
      <c r="I80" s="306" t="s">
        <v>179</v>
      </c>
      <c r="J80" s="304">
        <f>C69</f>
        <v>56025.999735022226</v>
      </c>
      <c r="K80" s="1"/>
      <c r="L80" s="1"/>
    </row>
    <row r="81" spans="1:12" x14ac:dyDescent="0.35">
      <c r="A81" s="43">
        <v>3</v>
      </c>
      <c r="B81" s="13" t="s">
        <v>54</v>
      </c>
      <c r="C81" s="41">
        <v>260</v>
      </c>
      <c r="D81" s="61">
        <v>0.55000000000000004</v>
      </c>
      <c r="E81" s="166">
        <v>214</v>
      </c>
      <c r="F81" s="65">
        <v>1</v>
      </c>
      <c r="G81" s="65">
        <f t="shared" si="3"/>
        <v>-0.17692307692307693</v>
      </c>
      <c r="I81" s="306" t="s">
        <v>234</v>
      </c>
      <c r="J81" s="305">
        <f>(J80-J79)/J79</f>
        <v>0.56322543903521838</v>
      </c>
      <c r="K81" s="1"/>
      <c r="L81" s="1"/>
    </row>
    <row r="82" spans="1:12" x14ac:dyDescent="0.35">
      <c r="A82" s="43">
        <v>4</v>
      </c>
      <c r="B82" s="13" t="s">
        <v>41</v>
      </c>
      <c r="C82" s="41">
        <v>260</v>
      </c>
      <c r="D82" s="61">
        <v>0.71</v>
      </c>
      <c r="E82" s="166">
        <v>211</v>
      </c>
      <c r="F82" s="65">
        <v>0.9958022130013835</v>
      </c>
      <c r="G82" s="65">
        <f t="shared" si="3"/>
        <v>-0.18846153846153846</v>
      </c>
      <c r="J82" s="1"/>
      <c r="K82" s="1"/>
      <c r="L82" s="1"/>
    </row>
    <row r="83" spans="1:12" x14ac:dyDescent="0.35">
      <c r="A83" s="43">
        <v>5</v>
      </c>
      <c r="B83" s="13" t="s">
        <v>43</v>
      </c>
      <c r="C83" s="41">
        <v>260</v>
      </c>
      <c r="D83" s="61">
        <v>0.33</v>
      </c>
      <c r="E83" s="166">
        <v>300</v>
      </c>
      <c r="F83" s="65">
        <v>0.49112033195020749</v>
      </c>
      <c r="G83" s="65">
        <f t="shared" si="3"/>
        <v>0.15384615384615385</v>
      </c>
      <c r="J83" s="1"/>
      <c r="K83" s="1"/>
      <c r="L83" s="1"/>
    </row>
    <row r="84" spans="1:12" x14ac:dyDescent="0.35">
      <c r="A84" s="43">
        <v>6</v>
      </c>
      <c r="B84" s="13" t="s">
        <v>46</v>
      </c>
      <c r="C84" s="41">
        <v>260</v>
      </c>
      <c r="D84" s="61">
        <v>0.5</v>
      </c>
      <c r="E84" s="166">
        <v>300</v>
      </c>
      <c r="F84" s="65">
        <v>0.49112033195020749</v>
      </c>
      <c r="G84" s="65">
        <f t="shared" si="3"/>
        <v>0.15384615384615385</v>
      </c>
      <c r="J84" s="1"/>
      <c r="K84" s="1"/>
      <c r="L84" s="1"/>
    </row>
    <row r="85" spans="1:12" x14ac:dyDescent="0.35">
      <c r="A85" s="43">
        <v>7</v>
      </c>
      <c r="B85" s="13" t="s">
        <v>48</v>
      </c>
      <c r="C85" s="41">
        <v>260</v>
      </c>
      <c r="D85" s="61">
        <v>0.63</v>
      </c>
      <c r="E85" s="166">
        <v>207</v>
      </c>
      <c r="F85" s="65">
        <v>0.82126556016597496</v>
      </c>
      <c r="G85" s="65">
        <f t="shared" si="3"/>
        <v>-0.20384615384615384</v>
      </c>
      <c r="J85" s="1"/>
      <c r="K85" s="1"/>
      <c r="L85" s="1"/>
    </row>
    <row r="86" spans="1:12" x14ac:dyDescent="0.35">
      <c r="A86" s="43">
        <v>8</v>
      </c>
      <c r="B86" s="13" t="s">
        <v>56</v>
      </c>
      <c r="C86" s="41">
        <v>180</v>
      </c>
      <c r="D86" s="61">
        <v>0.62</v>
      </c>
      <c r="E86" s="166">
        <v>205</v>
      </c>
      <c r="F86" s="65">
        <v>0.54666666666666663</v>
      </c>
      <c r="G86" s="65">
        <f t="shared" si="3"/>
        <v>0.1388888888888889</v>
      </c>
      <c r="J86" s="1"/>
      <c r="K86" s="1"/>
      <c r="L86" s="1"/>
    </row>
    <row r="87" spans="1:12" x14ac:dyDescent="0.35">
      <c r="D87" s="160">
        <f>AVERAGE(D79:D86)</f>
        <v>0.55374999999999996</v>
      </c>
      <c r="F87" s="160">
        <f>AVERAGE(F79:F86)</f>
        <v>0.68537554293756531</v>
      </c>
      <c r="G87" s="30"/>
      <c r="J87" s="1"/>
      <c r="K87" s="1"/>
      <c r="L87" s="1"/>
    </row>
    <row r="88" spans="1:12" s="46" customFormat="1" ht="18.5" x14ac:dyDescent="0.45">
      <c r="A88" s="164" t="s">
        <v>235</v>
      </c>
      <c r="C88" s="53"/>
    </row>
    <row r="89" spans="1:12" x14ac:dyDescent="0.35">
      <c r="B89" s="102" t="s">
        <v>236</v>
      </c>
      <c r="G89" s="30"/>
      <c r="J89" s="1"/>
      <c r="K89" s="1"/>
      <c r="L89" s="1"/>
    </row>
    <row r="90" spans="1:12" x14ac:dyDescent="0.35">
      <c r="B90" s="195">
        <f>C69</f>
        <v>56025.999735022226</v>
      </c>
      <c r="C90" s="196">
        <v>250</v>
      </c>
      <c r="D90" s="197">
        <v>260</v>
      </c>
      <c r="E90" s="197">
        <v>270</v>
      </c>
      <c r="F90" s="197">
        <v>280</v>
      </c>
      <c r="G90" s="198">
        <v>290</v>
      </c>
      <c r="H90" s="197">
        <v>300</v>
      </c>
      <c r="J90" s="1"/>
      <c r="K90" s="1"/>
      <c r="L90" s="1"/>
    </row>
    <row r="91" spans="1:12" x14ac:dyDescent="0.35">
      <c r="B91" s="183">
        <v>0.6</v>
      </c>
      <c r="C91" s="192">
        <v>54845.151313969574</v>
      </c>
      <c r="D91" s="193">
        <v>55685.151313969574</v>
      </c>
      <c r="E91" s="193">
        <v>56525.151313969574</v>
      </c>
      <c r="F91" s="193">
        <v>57365.151313969574</v>
      </c>
      <c r="G91" s="194">
        <v>58205.151313969574</v>
      </c>
      <c r="H91" s="193">
        <v>59045.151313969574</v>
      </c>
      <c r="J91" s="1"/>
      <c r="K91" s="1"/>
      <c r="L91" s="1"/>
    </row>
    <row r="92" spans="1:12" x14ac:dyDescent="0.35">
      <c r="B92" s="183">
        <v>0.7</v>
      </c>
      <c r="C92" s="192">
        <v>58345.151313969574</v>
      </c>
      <c r="D92" s="193">
        <v>59325.151313969574</v>
      </c>
      <c r="E92" s="193">
        <v>60305.151313969574</v>
      </c>
      <c r="F92" s="193">
        <v>61285.151313969574</v>
      </c>
      <c r="G92" s="194">
        <v>62265.151313969574</v>
      </c>
      <c r="H92" s="193">
        <v>63245.151313969574</v>
      </c>
      <c r="J92" s="1"/>
      <c r="K92" s="1"/>
      <c r="L92" s="1"/>
    </row>
    <row r="93" spans="1:12" x14ac:dyDescent="0.35">
      <c r="B93" s="183">
        <v>0.8</v>
      </c>
      <c r="C93" s="192">
        <v>61845.151313969574</v>
      </c>
      <c r="D93" s="193">
        <v>62965.151313969574</v>
      </c>
      <c r="E93" s="193">
        <v>64085.151313969574</v>
      </c>
      <c r="F93" s="193">
        <v>65205.151313969574</v>
      </c>
      <c r="G93" s="194">
        <v>66325.151313969574</v>
      </c>
      <c r="H93" s="193">
        <v>67445.151313969574</v>
      </c>
      <c r="J93" s="1"/>
      <c r="K93" s="1"/>
      <c r="L93" s="1"/>
    </row>
    <row r="94" spans="1:12" x14ac:dyDescent="0.35">
      <c r="B94" s="183">
        <v>0.9</v>
      </c>
      <c r="C94" s="192">
        <v>65345.151313969574</v>
      </c>
      <c r="D94" s="193">
        <v>66605.151313969574</v>
      </c>
      <c r="E94" s="193">
        <v>67865.151313969574</v>
      </c>
      <c r="F94" s="193">
        <v>69125.151313969545</v>
      </c>
      <c r="G94" s="194">
        <v>70385.151313969545</v>
      </c>
      <c r="H94" s="193">
        <v>71645.151313969545</v>
      </c>
      <c r="J94" s="1"/>
      <c r="K94" s="1"/>
      <c r="L94" s="1"/>
    </row>
    <row r="95" spans="1:12" x14ac:dyDescent="0.35">
      <c r="B95" s="183">
        <v>1</v>
      </c>
      <c r="C95" s="192">
        <v>68845.151313969545</v>
      </c>
      <c r="D95" s="193">
        <v>70245.151313969545</v>
      </c>
      <c r="E95" s="193">
        <v>71645.151313969545</v>
      </c>
      <c r="F95" s="193">
        <v>73045.151313969545</v>
      </c>
      <c r="G95" s="194">
        <v>74445.151313969545</v>
      </c>
      <c r="H95" s="193">
        <v>75845.151313969545</v>
      </c>
      <c r="J95" s="1"/>
      <c r="K95" s="1"/>
      <c r="L95" s="1"/>
    </row>
    <row r="96" spans="1:12" x14ac:dyDescent="0.35">
      <c r="G96" s="30"/>
      <c r="J96" s="1"/>
      <c r="K96" s="1"/>
      <c r="L96" s="1"/>
    </row>
    <row r="97" spans="7:12" x14ac:dyDescent="0.35">
      <c r="G97" s="30"/>
      <c r="J97" s="1"/>
      <c r="K97" s="1"/>
      <c r="L97" s="1"/>
    </row>
    <row r="98" spans="7:12" x14ac:dyDescent="0.35">
      <c r="G98" s="30"/>
      <c r="J98" s="1"/>
      <c r="K98" s="1"/>
      <c r="L98" s="1"/>
    </row>
    <row r="99" spans="7:12" x14ac:dyDescent="0.35">
      <c r="G99" s="30"/>
      <c r="J99" s="1"/>
      <c r="K99" s="1"/>
      <c r="L99" s="1"/>
    </row>
    <row r="100" spans="7:12" x14ac:dyDescent="0.35">
      <c r="G100" s="30"/>
      <c r="J100" s="1"/>
      <c r="K100" s="1"/>
      <c r="L100" s="1"/>
    </row>
    <row r="101" spans="7:12" x14ac:dyDescent="0.35">
      <c r="G101" s="30"/>
      <c r="J101" s="1"/>
      <c r="K101" s="1"/>
      <c r="L101" s="1"/>
    </row>
    <row r="102" spans="7:12" x14ac:dyDescent="0.35">
      <c r="G102" s="30"/>
      <c r="J102" s="1"/>
      <c r="K102" s="1"/>
      <c r="L102" s="1"/>
    </row>
    <row r="103" spans="7:12" x14ac:dyDescent="0.35">
      <c r="G103" s="30"/>
      <c r="J103" s="1"/>
      <c r="K103" s="1"/>
      <c r="L103" s="1"/>
    </row>
    <row r="104" spans="7:12" x14ac:dyDescent="0.35">
      <c r="G104" s="30"/>
      <c r="J104" s="1"/>
      <c r="K104" s="1"/>
      <c r="L104" s="1"/>
    </row>
    <row r="105" spans="7:12" x14ac:dyDescent="0.35">
      <c r="G105" s="30"/>
      <c r="J105" s="1"/>
      <c r="K105" s="1"/>
      <c r="L105" s="1"/>
    </row>
    <row r="106" spans="7:12" x14ac:dyDescent="0.35">
      <c r="G106" s="30"/>
      <c r="J106" s="1"/>
      <c r="K106" s="1"/>
      <c r="L106" s="1"/>
    </row>
    <row r="107" spans="7:12" x14ac:dyDescent="0.35">
      <c r="G107" s="30"/>
      <c r="J107" s="1"/>
      <c r="K107" s="1"/>
      <c r="L107" s="1"/>
    </row>
    <row r="108" spans="7:12" x14ac:dyDescent="0.35">
      <c r="G108" s="30"/>
      <c r="J108" s="1"/>
      <c r="K108" s="1"/>
      <c r="L108" s="1"/>
    </row>
    <row r="109" spans="7:12" x14ac:dyDescent="0.35">
      <c r="G109" s="30"/>
      <c r="J109" s="1"/>
      <c r="K109" s="1"/>
      <c r="L109" s="1"/>
    </row>
    <row r="110" spans="7:12" x14ac:dyDescent="0.35">
      <c r="G110" s="30"/>
      <c r="J110" s="1"/>
      <c r="K110" s="1"/>
      <c r="L110" s="1"/>
    </row>
    <row r="111" spans="7:12" x14ac:dyDescent="0.35">
      <c r="G111" s="30"/>
      <c r="J111" s="1"/>
      <c r="K111" s="1"/>
      <c r="L111" s="1"/>
    </row>
    <row r="112" spans="7:12" x14ac:dyDescent="0.35">
      <c r="G112" s="30"/>
      <c r="J112" s="1"/>
      <c r="K112" s="1"/>
      <c r="L112" s="1"/>
    </row>
    <row r="113" spans="7:12" x14ac:dyDescent="0.35">
      <c r="G113" s="30"/>
      <c r="J113" s="1"/>
      <c r="K113" s="1"/>
      <c r="L113" s="1"/>
    </row>
    <row r="114" spans="7:12" x14ac:dyDescent="0.35">
      <c r="G114" s="30"/>
      <c r="J114" s="1"/>
      <c r="K114" s="1"/>
      <c r="L114" s="1"/>
    </row>
    <row r="115" spans="7:12" x14ac:dyDescent="0.35">
      <c r="G115" s="30"/>
      <c r="J115" s="1"/>
      <c r="K115" s="1"/>
      <c r="L115" s="1"/>
    </row>
    <row r="116" spans="7:12" x14ac:dyDescent="0.35">
      <c r="G116" s="30"/>
      <c r="J116" s="1"/>
      <c r="K116" s="1"/>
      <c r="L116" s="1"/>
    </row>
    <row r="117" spans="7:12" x14ac:dyDescent="0.35">
      <c r="G117" s="30"/>
      <c r="J117" s="1"/>
      <c r="K117" s="1"/>
      <c r="L117" s="1"/>
    </row>
    <row r="118" spans="7:12" x14ac:dyDescent="0.35">
      <c r="G118" s="30"/>
      <c r="J118" s="1"/>
      <c r="K118" s="1"/>
      <c r="L118" s="1"/>
    </row>
    <row r="119" spans="7:12" x14ac:dyDescent="0.35">
      <c r="G119" s="30"/>
      <c r="J119" s="1"/>
      <c r="K119" s="1"/>
      <c r="L119" s="1"/>
    </row>
    <row r="120" spans="7:12" x14ac:dyDescent="0.35">
      <c r="G120" s="30"/>
      <c r="J120" s="1"/>
      <c r="K120" s="1"/>
      <c r="L120" s="1"/>
    </row>
    <row r="121" spans="7:12" x14ac:dyDescent="0.35">
      <c r="G121" s="30"/>
      <c r="J121" s="1"/>
      <c r="K121" s="1"/>
      <c r="L121" s="1"/>
    </row>
    <row r="122" spans="7:12" x14ac:dyDescent="0.35">
      <c r="G122" s="30"/>
      <c r="J122" s="1"/>
      <c r="K122" s="1"/>
      <c r="L122" s="1"/>
    </row>
    <row r="123" spans="7:12" x14ac:dyDescent="0.35">
      <c r="G123" s="30"/>
      <c r="J123" s="1"/>
      <c r="K123" s="1"/>
      <c r="L123" s="1"/>
    </row>
    <row r="124" spans="7:12" x14ac:dyDescent="0.35">
      <c r="G124" s="30"/>
      <c r="J124" s="1"/>
      <c r="K124" s="1"/>
      <c r="L124" s="1"/>
    </row>
    <row r="125" spans="7:12" x14ac:dyDescent="0.35">
      <c r="G125" s="30"/>
      <c r="J125" s="1"/>
      <c r="K125" s="1"/>
      <c r="L125" s="1"/>
    </row>
    <row r="126" spans="7:12" x14ac:dyDescent="0.35">
      <c r="G126" s="30"/>
      <c r="J126" s="1"/>
      <c r="K126" s="1"/>
      <c r="L126" s="1"/>
    </row>
    <row r="127" spans="7:12" x14ac:dyDescent="0.35">
      <c r="G127" s="30"/>
      <c r="J127" s="1"/>
      <c r="K127" s="1"/>
      <c r="L127" s="1"/>
    </row>
    <row r="128" spans="7:12" x14ac:dyDescent="0.35">
      <c r="G128" s="30"/>
      <c r="J128" s="1"/>
      <c r="K128" s="1"/>
      <c r="L128" s="1"/>
    </row>
    <row r="129" spans="2:12" x14ac:dyDescent="0.35">
      <c r="G129" s="30"/>
      <c r="J129" s="1"/>
      <c r="K129" s="1"/>
      <c r="L129" s="1"/>
    </row>
    <row r="130" spans="2:12" x14ac:dyDescent="0.35">
      <c r="G130" s="30"/>
      <c r="J130" s="1"/>
      <c r="K130" s="1"/>
      <c r="L130" s="1"/>
    </row>
    <row r="131" spans="2:12" x14ac:dyDescent="0.35">
      <c r="G131" s="30"/>
      <c r="J131" s="1"/>
      <c r="K131" s="1"/>
      <c r="L131" s="1"/>
    </row>
    <row r="132" spans="2:12" x14ac:dyDescent="0.35">
      <c r="G132" s="30"/>
      <c r="J132" s="1"/>
      <c r="K132" s="1"/>
      <c r="L132" s="1"/>
    </row>
    <row r="133" spans="2:12" x14ac:dyDescent="0.35">
      <c r="G133" s="30"/>
      <c r="J133" s="1"/>
      <c r="K133" s="1"/>
      <c r="L133" s="1"/>
    </row>
    <row r="134" spans="2:12" x14ac:dyDescent="0.35">
      <c r="B134" s="69" t="s">
        <v>237</v>
      </c>
    </row>
    <row r="135" spans="2:12" x14ac:dyDescent="0.35">
      <c r="B135" s="1" t="s">
        <v>215</v>
      </c>
      <c r="C135" s="45" t="s">
        <v>238</v>
      </c>
      <c r="D135" s="68" t="s">
        <v>239</v>
      </c>
    </row>
    <row r="136" spans="2:12" x14ac:dyDescent="0.35">
      <c r="B136" s="1" t="s">
        <v>216</v>
      </c>
      <c r="C136" s="45" t="s">
        <v>240</v>
      </c>
      <c r="D136" s="68" t="s">
        <v>241</v>
      </c>
    </row>
    <row r="137" spans="2:12" x14ac:dyDescent="0.35">
      <c r="B137" s="1" t="s">
        <v>214</v>
      </c>
      <c r="C137" s="45" t="s">
        <v>242</v>
      </c>
      <c r="D137" s="68" t="s">
        <v>243</v>
      </c>
    </row>
    <row r="138" spans="2:12" x14ac:dyDescent="0.35">
      <c r="B138" s="1" t="s">
        <v>161</v>
      </c>
      <c r="C138" s="45" t="s">
        <v>244</v>
      </c>
      <c r="D138" s="68" t="s">
        <v>245</v>
      </c>
    </row>
    <row r="139" spans="2:12" x14ac:dyDescent="0.35">
      <c r="B139" s="1" t="s">
        <v>246</v>
      </c>
      <c r="C139" s="45" t="s">
        <v>247</v>
      </c>
      <c r="D139" s="68" t="s">
        <v>248</v>
      </c>
    </row>
    <row r="140" spans="2:12" x14ac:dyDescent="0.35">
      <c r="B140" s="1" t="s">
        <v>161</v>
      </c>
      <c r="C140" s="45" t="s">
        <v>249</v>
      </c>
      <c r="D140" s="68" t="s">
        <v>250</v>
      </c>
    </row>
    <row r="141" spans="2:12" x14ac:dyDescent="0.35">
      <c r="B141" s="1" t="s">
        <v>213</v>
      </c>
      <c r="C141" s="45" t="s">
        <v>251</v>
      </c>
      <c r="D141" t="s">
        <v>252</v>
      </c>
    </row>
    <row r="142" spans="2:12" x14ac:dyDescent="0.35">
      <c r="D142" t="s">
        <v>253</v>
      </c>
      <c r="E142" t="s">
        <v>249</v>
      </c>
      <c r="F142" t="s">
        <v>254</v>
      </c>
    </row>
    <row r="143" spans="2:12" x14ac:dyDescent="0.35">
      <c r="D143" t="s">
        <v>255</v>
      </c>
      <c r="E143" t="s">
        <v>256</v>
      </c>
    </row>
    <row r="144" spans="2:12" x14ac:dyDescent="0.35">
      <c r="E144" t="s">
        <v>257</v>
      </c>
    </row>
  </sheetData>
  <mergeCells count="24">
    <mergeCell ref="B22:B25"/>
    <mergeCell ref="F22:F25"/>
    <mergeCell ref="G22:G25"/>
    <mergeCell ref="B26:B29"/>
    <mergeCell ref="F26:F29"/>
    <mergeCell ref="G26:G29"/>
    <mergeCell ref="B30:B33"/>
    <mergeCell ref="F30:F33"/>
    <mergeCell ref="G30:G33"/>
    <mergeCell ref="B34:B37"/>
    <mergeCell ref="F34:F37"/>
    <mergeCell ref="G34:G37"/>
    <mergeCell ref="B38:B41"/>
    <mergeCell ref="F38:F41"/>
    <mergeCell ref="G38:G41"/>
    <mergeCell ref="B42:B45"/>
    <mergeCell ref="F42:F45"/>
    <mergeCell ref="G42:G45"/>
    <mergeCell ref="B46:B49"/>
    <mergeCell ref="F46:F49"/>
    <mergeCell ref="G46:G49"/>
    <mergeCell ref="B50:B53"/>
    <mergeCell ref="F50:F53"/>
    <mergeCell ref="G50:G53"/>
  </mergeCells>
  <conditionalFormatting sqref="G79:G86">
    <cfRule type="cellIs" dxfId="7" priority="1" operator="greaterThan">
      <formula>0</formula>
    </cfRule>
    <cfRule type="cellIs" dxfId="6" priority="2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8F876-CB8F-438B-B574-02C422F2A902}">
  <dimension ref="A1:K75"/>
  <sheetViews>
    <sheetView zoomScale="63" zoomScaleNormal="85" workbookViewId="0">
      <selection activeCell="J17" sqref="J17"/>
    </sheetView>
  </sheetViews>
  <sheetFormatPr defaultRowHeight="14.5" x14ac:dyDescent="0.35"/>
  <cols>
    <col min="1" max="1" width="8.54296875" customWidth="1"/>
    <col min="2" max="2" width="31.26953125" customWidth="1"/>
    <col min="3" max="3" width="20.54296875" customWidth="1"/>
    <col min="4" max="4" width="25.26953125" customWidth="1"/>
    <col min="5" max="5" width="25.7265625" customWidth="1"/>
    <col min="6" max="6" width="32" customWidth="1"/>
    <col min="7" max="7" width="34.7265625" customWidth="1"/>
    <col min="8" max="8" width="30.26953125" customWidth="1"/>
    <col min="9" max="9" width="27.7265625" customWidth="1"/>
    <col min="10" max="10" width="28" customWidth="1"/>
    <col min="11" max="11" width="16.54296875" customWidth="1"/>
    <col min="14" max="14" width="10.54296875" customWidth="1"/>
  </cols>
  <sheetData>
    <row r="1" spans="1:11" ht="21" x14ac:dyDescent="0.5">
      <c r="A1" s="48" t="s">
        <v>258</v>
      </c>
    </row>
    <row r="2" spans="1:11" s="46" customFormat="1" x14ac:dyDescent="0.35">
      <c r="A2" s="47" t="s">
        <v>200</v>
      </c>
      <c r="C2" s="53"/>
    </row>
    <row r="3" spans="1:11" x14ac:dyDescent="0.35">
      <c r="C3" s="45"/>
    </row>
    <row r="4" spans="1:11" x14ac:dyDescent="0.35">
      <c r="A4" t="s">
        <v>259</v>
      </c>
      <c r="C4" s="45"/>
    </row>
    <row r="5" spans="1:11" ht="12.65" customHeight="1" x14ac:dyDescent="0.35">
      <c r="A5" s="159" t="s">
        <v>260</v>
      </c>
    </row>
    <row r="6" spans="1:11" ht="12.65" customHeight="1" x14ac:dyDescent="0.35">
      <c r="A6" s="159"/>
    </row>
    <row r="7" spans="1:11" ht="21" x14ac:dyDescent="0.5">
      <c r="A7" s="48"/>
    </row>
    <row r="8" spans="1:11" s="46" customFormat="1" x14ac:dyDescent="0.35">
      <c r="A8" s="47" t="s">
        <v>261</v>
      </c>
    </row>
    <row r="10" spans="1:11" ht="43.5" x14ac:dyDescent="0.35">
      <c r="A10" s="542" t="s">
        <v>143</v>
      </c>
      <c r="B10" s="542" t="s">
        <v>144</v>
      </c>
      <c r="C10" s="49" t="s">
        <v>262</v>
      </c>
      <c r="D10" s="49" t="s">
        <v>263</v>
      </c>
      <c r="E10" s="49" t="s">
        <v>264</v>
      </c>
      <c r="F10" s="49" t="s">
        <v>265</v>
      </c>
      <c r="G10" s="550" t="s">
        <v>266</v>
      </c>
      <c r="H10" s="543" t="s">
        <v>267</v>
      </c>
      <c r="I10" s="50"/>
      <c r="J10" s="70" t="s">
        <v>268</v>
      </c>
      <c r="K10" s="43">
        <v>27</v>
      </c>
    </row>
    <row r="11" spans="1:11" x14ac:dyDescent="0.35">
      <c r="A11" s="43">
        <v>1</v>
      </c>
      <c r="B11" s="13" t="s">
        <v>50</v>
      </c>
      <c r="C11" s="41">
        <v>261</v>
      </c>
      <c r="D11" s="65">
        <v>0.60702923976608181</v>
      </c>
      <c r="E11" s="41">
        <f>35*8</f>
        <v>280</v>
      </c>
      <c r="F11" s="43">
        <v>1</v>
      </c>
      <c r="G11" s="52">
        <v>6</v>
      </c>
      <c r="H11" s="43">
        <f>B31</f>
        <v>6</v>
      </c>
      <c r="I11" s="78"/>
    </row>
    <row r="12" spans="1:11" x14ac:dyDescent="0.35">
      <c r="A12" s="43">
        <v>2</v>
      </c>
      <c r="B12" s="13" t="s">
        <v>52</v>
      </c>
      <c r="C12" s="41">
        <v>265</v>
      </c>
      <c r="D12" s="65">
        <v>0.53000000000000014</v>
      </c>
      <c r="E12" s="41">
        <f t="shared" ref="E12:E18" si="0">35*8</f>
        <v>280</v>
      </c>
      <c r="F12" s="43">
        <v>1</v>
      </c>
      <c r="G12" s="52">
        <v>1</v>
      </c>
      <c r="H12" s="43">
        <f>C31</f>
        <v>4</v>
      </c>
      <c r="I12" s="78"/>
      <c r="J12" s="57" t="s">
        <v>269</v>
      </c>
      <c r="K12" s="58" cm="1">
        <f t="array" ref="K12">SUMPRODUCT(C11:C18,D11:D18*10,G11:G18)</f>
        <v>46737.202721846108</v>
      </c>
    </row>
    <row r="13" spans="1:11" x14ac:dyDescent="0.35">
      <c r="A13" s="43">
        <v>3</v>
      </c>
      <c r="B13" s="13" t="s">
        <v>54</v>
      </c>
      <c r="C13" s="41">
        <v>214</v>
      </c>
      <c r="D13" s="65">
        <v>1</v>
      </c>
      <c r="E13" s="41">
        <f t="shared" si="0"/>
        <v>280</v>
      </c>
      <c r="F13" s="43">
        <v>0</v>
      </c>
      <c r="G13" s="52">
        <v>4</v>
      </c>
      <c r="H13" s="43">
        <f>D31</f>
        <v>4</v>
      </c>
      <c r="I13" s="78"/>
      <c r="J13" s="57" t="s">
        <v>270</v>
      </c>
      <c r="K13" s="58">
        <f>SUMPRODUCT(G11:G18,E11:E18)</f>
        <v>7560</v>
      </c>
    </row>
    <row r="14" spans="1:11" x14ac:dyDescent="0.35">
      <c r="A14" s="43">
        <v>4</v>
      </c>
      <c r="B14" s="13" t="s">
        <v>41</v>
      </c>
      <c r="C14" s="41">
        <v>211</v>
      </c>
      <c r="D14" s="65">
        <v>0.9958022130013835</v>
      </c>
      <c r="E14" s="41">
        <f t="shared" si="0"/>
        <v>280</v>
      </c>
      <c r="F14" s="43">
        <v>1</v>
      </c>
      <c r="G14" s="52">
        <v>5</v>
      </c>
      <c r="H14" s="43">
        <f>E31</f>
        <v>5</v>
      </c>
      <c r="I14" s="78"/>
      <c r="J14" s="57" t="s">
        <v>271</v>
      </c>
      <c r="K14" s="58">
        <f>'0. Background, Market Analysis'!I45*2</f>
        <v>15900</v>
      </c>
    </row>
    <row r="15" spans="1:11" x14ac:dyDescent="0.35">
      <c r="A15" s="43">
        <v>5</v>
      </c>
      <c r="B15" s="13" t="s">
        <v>43</v>
      </c>
      <c r="C15" s="41">
        <v>300</v>
      </c>
      <c r="D15" s="65">
        <v>0.49112033195020749</v>
      </c>
      <c r="E15" s="41">
        <f t="shared" si="0"/>
        <v>280</v>
      </c>
      <c r="F15" s="43">
        <v>1</v>
      </c>
      <c r="G15" s="52">
        <v>2</v>
      </c>
      <c r="H15" s="43">
        <f>F31</f>
        <v>6</v>
      </c>
      <c r="I15" s="78"/>
    </row>
    <row r="16" spans="1:11" x14ac:dyDescent="0.35">
      <c r="A16" s="43">
        <v>6</v>
      </c>
      <c r="B16" s="13" t="s">
        <v>46</v>
      </c>
      <c r="C16" s="41">
        <v>300</v>
      </c>
      <c r="D16" s="65">
        <v>0.49112033195020749</v>
      </c>
      <c r="E16" s="41">
        <f t="shared" si="0"/>
        <v>280</v>
      </c>
      <c r="F16" s="43">
        <v>0</v>
      </c>
      <c r="G16" s="52">
        <v>4</v>
      </c>
      <c r="H16" s="43">
        <f>G31</f>
        <v>4</v>
      </c>
      <c r="I16" s="78"/>
      <c r="J16" s="67" t="s">
        <v>272</v>
      </c>
      <c r="K16" s="59">
        <f>K12-K14-K13</f>
        <v>23277.202721846108</v>
      </c>
    </row>
    <row r="17" spans="1:11" x14ac:dyDescent="0.35">
      <c r="A17" s="43">
        <v>7</v>
      </c>
      <c r="B17" s="13" t="s">
        <v>48</v>
      </c>
      <c r="C17" s="41">
        <v>207</v>
      </c>
      <c r="D17" s="65">
        <v>0.82126556016597496</v>
      </c>
      <c r="E17" s="41">
        <f t="shared" si="0"/>
        <v>280</v>
      </c>
      <c r="F17" s="43">
        <v>1</v>
      </c>
      <c r="G17" s="52">
        <v>4</v>
      </c>
      <c r="H17" s="43">
        <f>H31</f>
        <v>4</v>
      </c>
      <c r="I17" s="78"/>
    </row>
    <row r="18" spans="1:11" ht="15" customHeight="1" x14ac:dyDescent="0.35">
      <c r="A18" s="43">
        <v>8</v>
      </c>
      <c r="B18" s="13" t="s">
        <v>56</v>
      </c>
      <c r="C18" s="41">
        <v>205</v>
      </c>
      <c r="D18" s="65">
        <v>0.54666666666666663</v>
      </c>
      <c r="E18" s="41">
        <f t="shared" si="0"/>
        <v>280</v>
      </c>
      <c r="F18" s="43">
        <v>1</v>
      </c>
      <c r="G18" s="41">
        <v>1</v>
      </c>
      <c r="H18" s="43">
        <f>I31</f>
        <v>3</v>
      </c>
      <c r="I18" s="45"/>
    </row>
    <row r="19" spans="1:11" x14ac:dyDescent="0.35">
      <c r="G19">
        <f>SUM(G11:G18)</f>
        <v>27</v>
      </c>
    </row>
    <row r="21" spans="1:11" x14ac:dyDescent="0.35">
      <c r="A21" s="691" t="s">
        <v>273</v>
      </c>
      <c r="B21" s="691"/>
      <c r="C21" s="691"/>
      <c r="D21" s="691"/>
      <c r="E21" s="691"/>
      <c r="F21" s="691"/>
      <c r="G21" s="691"/>
      <c r="H21" s="691"/>
      <c r="I21" s="691"/>
    </row>
    <row r="22" spans="1:11" ht="101.5" x14ac:dyDescent="0.35">
      <c r="A22" s="74"/>
      <c r="B22" s="74" t="s">
        <v>175</v>
      </c>
      <c r="C22" s="74" t="s">
        <v>176</v>
      </c>
      <c r="D22" s="74" t="s">
        <v>177</v>
      </c>
      <c r="E22" s="74" t="s">
        <v>41</v>
      </c>
      <c r="F22" s="74" t="s">
        <v>43</v>
      </c>
      <c r="G22" s="74" t="s">
        <v>46</v>
      </c>
      <c r="H22" s="74" t="s">
        <v>48</v>
      </c>
      <c r="I22" s="74" t="s">
        <v>56</v>
      </c>
      <c r="K22" s="178" t="s">
        <v>274</v>
      </c>
    </row>
    <row r="23" spans="1:11" x14ac:dyDescent="0.35">
      <c r="A23" s="71" t="s">
        <v>180</v>
      </c>
      <c r="B23" s="73" t="s">
        <v>181</v>
      </c>
      <c r="C23" s="73" t="s">
        <v>181</v>
      </c>
      <c r="D23" s="73"/>
      <c r="E23" s="73" t="s">
        <v>181</v>
      </c>
      <c r="F23" s="73" t="s">
        <v>181</v>
      </c>
      <c r="G23" s="73"/>
      <c r="H23" s="73" t="s">
        <v>181</v>
      </c>
      <c r="I23" s="73"/>
      <c r="J23" s="180" t="s">
        <v>182</v>
      </c>
      <c r="K23" s="179">
        <f t="shared" ref="K23:K30" si="1">COUNTIF(B23:I23,"=X")</f>
        <v>5</v>
      </c>
    </row>
    <row r="24" spans="1:11" x14ac:dyDescent="0.35">
      <c r="A24" s="71" t="s">
        <v>184</v>
      </c>
      <c r="B24" s="73" t="s">
        <v>181</v>
      </c>
      <c r="C24" s="73" t="s">
        <v>181</v>
      </c>
      <c r="D24" s="73"/>
      <c r="E24" s="73" t="s">
        <v>181</v>
      </c>
      <c r="F24" s="73" t="s">
        <v>181</v>
      </c>
      <c r="G24" s="73"/>
      <c r="H24" s="73" t="s">
        <v>181</v>
      </c>
      <c r="I24" s="73"/>
      <c r="J24" s="180" t="s">
        <v>182</v>
      </c>
      <c r="K24" s="179">
        <f t="shared" si="1"/>
        <v>5</v>
      </c>
    </row>
    <row r="25" spans="1:11" x14ac:dyDescent="0.35">
      <c r="A25" s="71" t="s">
        <v>185</v>
      </c>
      <c r="B25" s="73"/>
      <c r="C25" s="73"/>
      <c r="D25" s="73"/>
      <c r="E25" s="73" t="s">
        <v>181</v>
      </c>
      <c r="F25" s="73"/>
      <c r="G25" s="73"/>
      <c r="H25" s="73" t="s">
        <v>181</v>
      </c>
      <c r="I25" s="73"/>
      <c r="J25" s="45" t="s">
        <v>182</v>
      </c>
      <c r="K25" s="179">
        <f t="shared" si="1"/>
        <v>2</v>
      </c>
    </row>
    <row r="26" spans="1:11" x14ac:dyDescent="0.35">
      <c r="A26" s="71" t="s">
        <v>186</v>
      </c>
      <c r="B26" s="73" t="s">
        <v>181</v>
      </c>
      <c r="C26" s="73" t="s">
        <v>181</v>
      </c>
      <c r="D26" s="73"/>
      <c r="E26" s="73"/>
      <c r="F26" s="73" t="s">
        <v>181</v>
      </c>
      <c r="G26" s="73" t="s">
        <v>181</v>
      </c>
      <c r="H26" s="73" t="s">
        <v>181</v>
      </c>
      <c r="I26" s="73"/>
      <c r="J26" s="180" t="s">
        <v>182</v>
      </c>
      <c r="K26" s="179">
        <f t="shared" si="1"/>
        <v>5</v>
      </c>
    </row>
    <row r="27" spans="1:11" x14ac:dyDescent="0.35">
      <c r="A27" s="71" t="s">
        <v>187</v>
      </c>
      <c r="B27" s="73" t="s">
        <v>181</v>
      </c>
      <c r="C27" s="73"/>
      <c r="D27" s="73" t="s">
        <v>181</v>
      </c>
      <c r="E27" s="73" t="s">
        <v>181</v>
      </c>
      <c r="F27" s="73" t="s">
        <v>181</v>
      </c>
      <c r="G27" s="73" t="s">
        <v>181</v>
      </c>
      <c r="H27" s="73"/>
      <c r="I27" s="73"/>
      <c r="J27" s="180" t="s">
        <v>182</v>
      </c>
      <c r="K27" s="179">
        <f t="shared" si="1"/>
        <v>5</v>
      </c>
    </row>
    <row r="28" spans="1:11" x14ac:dyDescent="0.35">
      <c r="A28" s="71" t="s">
        <v>188</v>
      </c>
      <c r="B28" s="73" t="s">
        <v>181</v>
      </c>
      <c r="C28" s="73"/>
      <c r="D28" s="73" t="s">
        <v>181</v>
      </c>
      <c r="E28" s="73" t="s">
        <v>181</v>
      </c>
      <c r="F28" s="73"/>
      <c r="G28" s="73"/>
      <c r="H28" s="73"/>
      <c r="I28" s="73" t="s">
        <v>181</v>
      </c>
      <c r="J28" s="180" t="s">
        <v>182</v>
      </c>
      <c r="K28" s="179">
        <f t="shared" si="1"/>
        <v>4</v>
      </c>
    </row>
    <row r="29" spans="1:11" x14ac:dyDescent="0.35">
      <c r="A29" s="71" t="s">
        <v>189</v>
      </c>
      <c r="B29" s="73"/>
      <c r="C29" s="73" t="s">
        <v>181</v>
      </c>
      <c r="D29" s="73" t="s">
        <v>181</v>
      </c>
      <c r="E29" s="73"/>
      <c r="F29" s="73" t="s">
        <v>181</v>
      </c>
      <c r="G29" s="73" t="s">
        <v>181</v>
      </c>
      <c r="H29" s="73"/>
      <c r="I29" s="73" t="s">
        <v>181</v>
      </c>
      <c r="J29" s="180" t="s">
        <v>182</v>
      </c>
      <c r="K29" s="179">
        <f t="shared" si="1"/>
        <v>5</v>
      </c>
    </row>
    <row r="30" spans="1:11" x14ac:dyDescent="0.35">
      <c r="A30" s="75" t="s">
        <v>190</v>
      </c>
      <c r="B30" s="76" t="s">
        <v>181</v>
      </c>
      <c r="C30" s="76"/>
      <c r="D30" s="76" t="s">
        <v>181</v>
      </c>
      <c r="E30" s="76"/>
      <c r="F30" s="76" t="s">
        <v>181</v>
      </c>
      <c r="G30" s="76" t="s">
        <v>181</v>
      </c>
      <c r="H30" s="76"/>
      <c r="I30" s="76" t="s">
        <v>181</v>
      </c>
      <c r="J30" s="180" t="s">
        <v>182</v>
      </c>
      <c r="K30" s="179">
        <f t="shared" si="1"/>
        <v>5</v>
      </c>
    </row>
    <row r="31" spans="1:11" x14ac:dyDescent="0.35">
      <c r="A31" s="77" t="s">
        <v>191</v>
      </c>
      <c r="B31" s="62">
        <f>COUNTIF(B23:B30,"=X")</f>
        <v>6</v>
      </c>
      <c r="C31" s="62">
        <f t="shared" ref="C31:I31" si="2">COUNTIF(C23:C30,"=X")</f>
        <v>4</v>
      </c>
      <c r="D31" s="62">
        <f t="shared" si="2"/>
        <v>4</v>
      </c>
      <c r="E31" s="62">
        <f t="shared" si="2"/>
        <v>5</v>
      </c>
      <c r="F31" s="62">
        <f t="shared" si="2"/>
        <v>6</v>
      </c>
      <c r="G31" s="62">
        <f t="shared" si="2"/>
        <v>4</v>
      </c>
      <c r="H31" s="62">
        <f t="shared" si="2"/>
        <v>4</v>
      </c>
      <c r="I31" s="62">
        <f t="shared" si="2"/>
        <v>3</v>
      </c>
      <c r="K31" s="12">
        <f>SUM(K23:K30)</f>
        <v>36</v>
      </c>
    </row>
    <row r="34" spans="1:10" s="46" customFormat="1" x14ac:dyDescent="0.35">
      <c r="A34" s="47" t="s">
        <v>275</v>
      </c>
    </row>
    <row r="37" spans="1:10" ht="29" x14ac:dyDescent="0.35">
      <c r="A37" s="544" t="s">
        <v>143</v>
      </c>
      <c r="B37" s="544" t="s">
        <v>144</v>
      </c>
      <c r="C37" s="207" t="s">
        <v>196</v>
      </c>
      <c r="D37" s="209" t="s">
        <v>276</v>
      </c>
      <c r="E37" s="209" t="s">
        <v>145</v>
      </c>
      <c r="F37" s="210" t="s">
        <v>146</v>
      </c>
      <c r="G37" s="208" t="s">
        <v>264</v>
      </c>
      <c r="H37" s="545" t="s">
        <v>277</v>
      </c>
      <c r="I37" s="546" t="s">
        <v>278</v>
      </c>
      <c r="J37" t="s">
        <v>279</v>
      </c>
    </row>
    <row r="38" spans="1:10" x14ac:dyDescent="0.35">
      <c r="A38" s="43">
        <v>1</v>
      </c>
      <c r="B38" s="13" t="s">
        <v>50</v>
      </c>
      <c r="C38" s="52">
        <v>6</v>
      </c>
      <c r="D38" s="144">
        <v>260</v>
      </c>
      <c r="E38" s="41">
        <v>3</v>
      </c>
      <c r="F38" s="163">
        <v>0.5</v>
      </c>
      <c r="G38" s="41">
        <f>35*8</f>
        <v>280</v>
      </c>
      <c r="H38" s="41">
        <v>261</v>
      </c>
      <c r="I38" s="65">
        <v>0.60702923976608181</v>
      </c>
      <c r="J38" s="102">
        <f>C38-E38</f>
        <v>3</v>
      </c>
    </row>
    <row r="39" spans="1:10" x14ac:dyDescent="0.35">
      <c r="A39" s="43">
        <v>2</v>
      </c>
      <c r="B39" s="13" t="s">
        <v>52</v>
      </c>
      <c r="C39" s="52">
        <v>1</v>
      </c>
      <c r="D39" s="144">
        <v>260</v>
      </c>
      <c r="E39" s="41">
        <v>5</v>
      </c>
      <c r="F39" s="163">
        <v>0.8</v>
      </c>
      <c r="G39" s="41">
        <f t="shared" ref="G39:G45" si="3">35*8</f>
        <v>280</v>
      </c>
      <c r="H39" s="41">
        <v>265</v>
      </c>
      <c r="I39" s="65">
        <v>0.53000000000000014</v>
      </c>
      <c r="J39" s="102">
        <f t="shared" ref="J39:J45" si="4">C39-E39</f>
        <v>-4</v>
      </c>
    </row>
    <row r="40" spans="1:10" x14ac:dyDescent="0.35">
      <c r="A40" s="43">
        <v>3</v>
      </c>
      <c r="B40" s="13" t="s">
        <v>54</v>
      </c>
      <c r="C40" s="52">
        <v>4</v>
      </c>
      <c r="D40" s="144">
        <v>260</v>
      </c>
      <c r="E40" s="41">
        <v>2</v>
      </c>
      <c r="F40" s="163">
        <v>0.35</v>
      </c>
      <c r="G40" s="41">
        <f t="shared" si="3"/>
        <v>280</v>
      </c>
      <c r="H40" s="41">
        <v>214</v>
      </c>
      <c r="I40" s="65">
        <v>1</v>
      </c>
      <c r="J40" s="102">
        <f t="shared" si="4"/>
        <v>2</v>
      </c>
    </row>
    <row r="41" spans="1:10" x14ac:dyDescent="0.35">
      <c r="A41" s="43">
        <v>4</v>
      </c>
      <c r="B41" s="13" t="s">
        <v>41</v>
      </c>
      <c r="C41" s="52">
        <v>5</v>
      </c>
      <c r="D41" s="144">
        <v>260</v>
      </c>
      <c r="E41" s="41">
        <v>1</v>
      </c>
      <c r="F41" s="163">
        <v>0.5</v>
      </c>
      <c r="G41" s="41">
        <f t="shared" si="3"/>
        <v>280</v>
      </c>
      <c r="H41" s="41">
        <v>211</v>
      </c>
      <c r="I41" s="65">
        <v>0.9958022130013835</v>
      </c>
      <c r="J41" s="102">
        <f t="shared" si="4"/>
        <v>4</v>
      </c>
    </row>
    <row r="42" spans="1:10" x14ac:dyDescent="0.35">
      <c r="A42" s="43">
        <v>5</v>
      </c>
      <c r="B42" s="13" t="s">
        <v>43</v>
      </c>
      <c r="C42" s="52">
        <v>2</v>
      </c>
      <c r="D42" s="144">
        <v>220</v>
      </c>
      <c r="E42" s="41">
        <v>3</v>
      </c>
      <c r="F42" s="163">
        <v>0.8</v>
      </c>
      <c r="G42" s="41">
        <f t="shared" si="3"/>
        <v>280</v>
      </c>
      <c r="H42" s="41">
        <v>300</v>
      </c>
      <c r="I42" s="65">
        <v>0.49112033195020749</v>
      </c>
      <c r="J42" s="102">
        <f t="shared" si="4"/>
        <v>-1</v>
      </c>
    </row>
    <row r="43" spans="1:10" x14ac:dyDescent="0.35">
      <c r="A43" s="43">
        <v>6</v>
      </c>
      <c r="B43" s="13" t="s">
        <v>46</v>
      </c>
      <c r="C43" s="52">
        <v>4</v>
      </c>
      <c r="D43" s="144">
        <v>260</v>
      </c>
      <c r="E43" s="41">
        <v>2</v>
      </c>
      <c r="F43" s="163">
        <v>0.35</v>
      </c>
      <c r="G43" s="41">
        <f t="shared" si="3"/>
        <v>280</v>
      </c>
      <c r="H43" s="41">
        <v>300</v>
      </c>
      <c r="I43" s="65">
        <v>0.49112033195020749</v>
      </c>
      <c r="J43" s="102">
        <f t="shared" si="4"/>
        <v>2</v>
      </c>
    </row>
    <row r="44" spans="1:10" x14ac:dyDescent="0.35">
      <c r="A44" s="43">
        <v>7</v>
      </c>
      <c r="B44" s="13" t="s">
        <v>48</v>
      </c>
      <c r="C44" s="52">
        <v>4</v>
      </c>
      <c r="D44" s="144">
        <v>260</v>
      </c>
      <c r="E44" s="41">
        <v>9</v>
      </c>
      <c r="F44" s="163">
        <v>0.66</v>
      </c>
      <c r="G44" s="41">
        <f t="shared" si="3"/>
        <v>280</v>
      </c>
      <c r="H44" s="41">
        <v>207</v>
      </c>
      <c r="I44" s="65">
        <v>0.82126556016597496</v>
      </c>
      <c r="J44" s="102">
        <f t="shared" si="4"/>
        <v>-5</v>
      </c>
    </row>
    <row r="45" spans="1:10" x14ac:dyDescent="0.35">
      <c r="A45" s="43">
        <v>8</v>
      </c>
      <c r="B45" s="13" t="s">
        <v>56</v>
      </c>
      <c r="C45" s="41">
        <v>1</v>
      </c>
      <c r="D45" s="144">
        <v>180</v>
      </c>
      <c r="E45" s="41">
        <v>1</v>
      </c>
      <c r="F45" s="163">
        <v>0.5</v>
      </c>
      <c r="G45" s="41">
        <f t="shared" si="3"/>
        <v>280</v>
      </c>
      <c r="H45" s="41">
        <v>205</v>
      </c>
      <c r="I45" s="65">
        <v>0.54666666666666663</v>
      </c>
      <c r="J45" s="102">
        <f t="shared" si="4"/>
        <v>0</v>
      </c>
    </row>
    <row r="48" spans="1:10" ht="29" x14ac:dyDescent="0.35">
      <c r="C48" s="205" t="s">
        <v>148</v>
      </c>
      <c r="D48" s="167" cm="1">
        <f t="array" ref="D48">SUMPRODUCT(E38:E45,F38:F45*10,D38:D45)</f>
        <v>40864</v>
      </c>
      <c r="E48" s="212" t="s">
        <v>280</v>
      </c>
      <c r="F48" s="167" cm="1">
        <f t="array" ref="F48">SUMPRODUCT(C38:C45,I38:I45*10,H38:H45)</f>
        <v>46737.202721846108</v>
      </c>
    </row>
    <row r="49" spans="2:10" ht="29" x14ac:dyDescent="0.35">
      <c r="C49" s="211" t="s">
        <v>150</v>
      </c>
      <c r="D49" s="167">
        <f>SUMPRODUCT(E38:E45,G38:G45)</f>
        <v>7280</v>
      </c>
      <c r="E49" s="212" t="s">
        <v>281</v>
      </c>
      <c r="F49" s="167">
        <f>SUMPRODUCT(C38:C45,G38:G45)</f>
        <v>7560</v>
      </c>
    </row>
    <row r="50" spans="2:10" x14ac:dyDescent="0.35">
      <c r="C50" s="205" t="s">
        <v>151</v>
      </c>
      <c r="D50" s="59">
        <f>'0. Background, Market Analysis'!I45*2</f>
        <v>15900</v>
      </c>
      <c r="E50" s="57" t="s">
        <v>282</v>
      </c>
      <c r="F50" s="59">
        <f>'0. Background, Market Analysis'!I45*2</f>
        <v>15900</v>
      </c>
    </row>
    <row r="51" spans="2:10" x14ac:dyDescent="0.35">
      <c r="C51" s="208" t="s">
        <v>157</v>
      </c>
      <c r="D51" s="64">
        <f>D48-D49-D50</f>
        <v>17684</v>
      </c>
      <c r="E51" s="62" t="s">
        <v>198</v>
      </c>
      <c r="F51" s="64">
        <f>F48-F49-F50</f>
        <v>23277.202721846108</v>
      </c>
    </row>
    <row r="52" spans="2:10" x14ac:dyDescent="0.35">
      <c r="F52" s="145"/>
    </row>
    <row r="53" spans="2:10" x14ac:dyDescent="0.35">
      <c r="D53" s="181" t="s">
        <v>161</v>
      </c>
      <c r="E53" s="181" t="s">
        <v>197</v>
      </c>
    </row>
    <row r="54" spans="2:10" x14ac:dyDescent="0.35">
      <c r="C54" s="214" t="s">
        <v>157</v>
      </c>
      <c r="D54" s="59">
        <f>D51</f>
        <v>17684</v>
      </c>
      <c r="E54" s="43"/>
    </row>
    <row r="55" spans="2:10" ht="29" x14ac:dyDescent="0.35">
      <c r="C55" s="215" t="s">
        <v>198</v>
      </c>
      <c r="D55" s="59">
        <f>F51</f>
        <v>23277.202721846108</v>
      </c>
      <c r="E55" s="163">
        <f>(D55-D54)/D54</f>
        <v>0.31628606208132254</v>
      </c>
      <c r="H55" s="94"/>
      <c r="J55" s="160"/>
    </row>
    <row r="56" spans="2:10" x14ac:dyDescent="0.35">
      <c r="H56" s="94"/>
      <c r="J56" s="160"/>
    </row>
    <row r="57" spans="2:10" x14ac:dyDescent="0.35">
      <c r="H57" s="94"/>
      <c r="J57" s="160"/>
    </row>
    <row r="58" spans="2:10" x14ac:dyDescent="0.35">
      <c r="H58" s="94"/>
      <c r="J58" s="160"/>
    </row>
    <row r="59" spans="2:10" x14ac:dyDescent="0.35">
      <c r="H59" s="94"/>
      <c r="J59" s="160"/>
    </row>
    <row r="60" spans="2:10" x14ac:dyDescent="0.35">
      <c r="H60" s="94"/>
      <c r="J60" s="160"/>
    </row>
    <row r="61" spans="2:10" x14ac:dyDescent="0.35">
      <c r="H61" s="94"/>
      <c r="J61" s="160"/>
    </row>
    <row r="62" spans="2:10" x14ac:dyDescent="0.35">
      <c r="H62" s="94"/>
      <c r="J62" s="160"/>
    </row>
    <row r="64" spans="2:10" x14ac:dyDescent="0.35">
      <c r="B64" s="69"/>
      <c r="C64" s="45"/>
    </row>
    <row r="65" spans="2:4" x14ac:dyDescent="0.35">
      <c r="B65" s="1"/>
      <c r="C65" s="45"/>
      <c r="D65" s="68"/>
    </row>
    <row r="66" spans="2:4" x14ac:dyDescent="0.35">
      <c r="B66" s="1"/>
      <c r="C66" s="45"/>
      <c r="D66" s="68"/>
    </row>
    <row r="67" spans="2:4" x14ac:dyDescent="0.35">
      <c r="B67" s="1"/>
      <c r="C67" s="45"/>
      <c r="D67" s="68"/>
    </row>
    <row r="68" spans="2:4" x14ac:dyDescent="0.35">
      <c r="B68" s="1"/>
      <c r="C68" s="45"/>
      <c r="D68" s="68"/>
    </row>
    <row r="69" spans="2:4" x14ac:dyDescent="0.35">
      <c r="B69" s="1"/>
      <c r="C69" s="45"/>
      <c r="D69" s="68"/>
    </row>
    <row r="70" spans="2:4" x14ac:dyDescent="0.35">
      <c r="B70" s="1"/>
      <c r="C70" s="45"/>
      <c r="D70" s="68"/>
    </row>
    <row r="71" spans="2:4" x14ac:dyDescent="0.35">
      <c r="B71" s="1"/>
      <c r="C71" s="45"/>
      <c r="D71" s="68"/>
    </row>
    <row r="72" spans="2:4" x14ac:dyDescent="0.35">
      <c r="B72" s="1"/>
      <c r="C72" s="45"/>
      <c r="D72" s="68"/>
    </row>
    <row r="73" spans="2:4" x14ac:dyDescent="0.35">
      <c r="B73" s="1"/>
      <c r="C73" s="45"/>
    </row>
    <row r="74" spans="2:4" x14ac:dyDescent="0.35">
      <c r="C74" s="45"/>
    </row>
    <row r="75" spans="2:4" x14ac:dyDescent="0.35">
      <c r="C75" s="45"/>
    </row>
  </sheetData>
  <mergeCells count="1">
    <mergeCell ref="A21:I21"/>
  </mergeCells>
  <conditionalFormatting sqref="K23:K30">
    <cfRule type="cellIs" dxfId="5" priority="1" operator="greaterThan">
      <formula>5</formula>
    </cfRule>
    <cfRule type="cellIs" dxfId="4" priority="2" operator="greaterThan">
      <formula>5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8BB85-B5AA-4151-8ED0-115B64EFEC00}">
  <dimension ref="B1:AJ27"/>
  <sheetViews>
    <sheetView workbookViewId="0">
      <selection activeCell="J6" sqref="J6"/>
    </sheetView>
  </sheetViews>
  <sheetFormatPr defaultColWidth="8.7265625" defaultRowHeight="13" x14ac:dyDescent="0.3"/>
  <cols>
    <col min="1" max="1" width="0.7265625" style="224" customWidth="1"/>
    <col min="2" max="7" width="6.7265625" style="224" customWidth="1"/>
    <col min="8" max="9" width="3.7265625" style="224" customWidth="1"/>
    <col min="10" max="18" width="6" style="224" customWidth="1"/>
    <col min="19" max="19" width="8.7265625" style="224" customWidth="1"/>
    <col min="20" max="20" width="0.7265625" style="224" customWidth="1"/>
    <col min="21" max="21" width="2.453125" style="224" customWidth="1"/>
    <col min="22" max="31" width="6" style="224" customWidth="1"/>
    <col min="32" max="33" width="0.7265625" style="224" customWidth="1"/>
    <col min="34" max="16384" width="8.7265625" style="224"/>
  </cols>
  <sheetData>
    <row r="1" spans="2:36" ht="15.5" x14ac:dyDescent="0.35">
      <c r="B1" s="223" t="s">
        <v>283</v>
      </c>
      <c r="S1" s="225"/>
    </row>
    <row r="2" spans="2:36" x14ac:dyDescent="0.3">
      <c r="S2" s="226"/>
    </row>
    <row r="3" spans="2:36" x14ac:dyDescent="0.3">
      <c r="B3" s="227" t="s">
        <v>284</v>
      </c>
      <c r="J3" s="227"/>
      <c r="V3" s="227"/>
    </row>
    <row r="4" spans="2:36" x14ac:dyDescent="0.3">
      <c r="B4" s="228" t="s">
        <v>285</v>
      </c>
      <c r="C4" s="229"/>
      <c r="D4" s="229"/>
      <c r="E4" s="229"/>
      <c r="F4" s="229"/>
      <c r="G4" s="230"/>
      <c r="H4" s="230"/>
      <c r="I4" s="230"/>
    </row>
    <row r="5" spans="2:36" x14ac:dyDescent="0.3">
      <c r="B5" s="228"/>
      <c r="C5" s="229"/>
      <c r="D5" s="229"/>
      <c r="E5" s="229"/>
      <c r="F5" s="229"/>
      <c r="G5" s="230"/>
      <c r="H5" s="230"/>
      <c r="I5" s="230"/>
      <c r="J5" s="231" t="s">
        <v>286</v>
      </c>
      <c r="K5" s="232"/>
      <c r="L5" s="231" t="s">
        <v>287</v>
      </c>
      <c r="M5" s="232"/>
      <c r="N5" s="231" t="s">
        <v>288</v>
      </c>
      <c r="O5" s="231" t="s">
        <v>289</v>
      </c>
      <c r="P5" s="232"/>
      <c r="Q5" s="231" t="s">
        <v>290</v>
      </c>
      <c r="R5" s="231" t="s">
        <v>291</v>
      </c>
      <c r="V5" s="231"/>
      <c r="W5" s="232"/>
      <c r="X5" s="231"/>
      <c r="Y5" s="232"/>
      <c r="Z5" s="231"/>
      <c r="AA5" s="231"/>
      <c r="AB5" s="232"/>
      <c r="AC5" s="231"/>
      <c r="AD5" s="231"/>
    </row>
    <row r="6" spans="2:36" x14ac:dyDescent="0.3">
      <c r="B6" s="229"/>
      <c r="C6" s="229"/>
      <c r="D6" s="229"/>
      <c r="E6" s="229"/>
      <c r="F6" s="229"/>
      <c r="G6" s="230"/>
      <c r="H6" s="230"/>
      <c r="I6" s="230"/>
      <c r="J6" s="233">
        <f>COUNT(B8:F12)</f>
        <v>25</v>
      </c>
      <c r="L6" s="233">
        <f ca="1">COUNT(J8:S27)</f>
        <v>200</v>
      </c>
      <c r="N6" s="233">
        <f ca="1">MIN($J$8:$S$27)</f>
        <v>1</v>
      </c>
      <c r="O6" s="233">
        <f ca="1">MAX($J$8:$S$27)</f>
        <v>12</v>
      </c>
      <c r="Q6" s="234">
        <f ca="1">AVERAGE($J$8:$S$27)</f>
        <v>4.4749999999999996</v>
      </c>
      <c r="R6" s="235">
        <f ca="1">SUM($J$8:$S$27)</f>
        <v>895</v>
      </c>
      <c r="S6" s="232" t="s">
        <v>292</v>
      </c>
      <c r="V6" s="247"/>
      <c r="X6" s="247"/>
      <c r="Z6" s="247"/>
      <c r="AA6" s="247"/>
      <c r="AC6" s="257"/>
      <c r="AD6" s="258"/>
      <c r="AE6" s="232"/>
    </row>
    <row r="7" spans="2:36" x14ac:dyDescent="0.3">
      <c r="B7" s="236" t="s">
        <v>293</v>
      </c>
      <c r="C7" s="229"/>
      <c r="D7" s="237"/>
      <c r="E7" s="237"/>
      <c r="F7" s="237"/>
      <c r="G7" s="230"/>
      <c r="H7" s="230"/>
      <c r="I7" s="230"/>
      <c r="AI7" s="259"/>
    </row>
    <row r="8" spans="2:36" x14ac:dyDescent="0.3">
      <c r="B8" s="238">
        <v>5</v>
      </c>
      <c r="C8" s="239">
        <v>4</v>
      </c>
      <c r="D8" s="239">
        <v>4</v>
      </c>
      <c r="E8" s="239">
        <v>4</v>
      </c>
      <c r="F8" s="240">
        <v>3</v>
      </c>
      <c r="G8" s="230"/>
      <c r="H8" s="230"/>
      <c r="I8" s="230"/>
      <c r="J8" s="241">
        <f ca="1">SMALL($B$8:$F$12,RANDBETWEEN(1,$J$6))</f>
        <v>3</v>
      </c>
      <c r="K8" s="242">
        <f t="shared" ref="J8:S23" ca="1" si="0">SMALL($B$8:$F$12,RANDBETWEEN(1,$J$6))</f>
        <v>2</v>
      </c>
      <c r="L8" s="242">
        <f t="shared" ca="1" si="0"/>
        <v>3</v>
      </c>
      <c r="M8" s="242">
        <f t="shared" ca="1" si="0"/>
        <v>3</v>
      </c>
      <c r="N8" s="242">
        <f t="shared" ca="1" si="0"/>
        <v>3</v>
      </c>
      <c r="O8" s="242">
        <f t="shared" ca="1" si="0"/>
        <v>7</v>
      </c>
      <c r="P8" s="242">
        <f t="shared" ca="1" si="0"/>
        <v>3</v>
      </c>
      <c r="Q8" s="242">
        <f t="shared" ca="1" si="0"/>
        <v>4</v>
      </c>
      <c r="R8" s="242">
        <f t="shared" ca="1" si="0"/>
        <v>4</v>
      </c>
      <c r="S8" s="242">
        <f t="shared" ca="1" si="0"/>
        <v>1</v>
      </c>
      <c r="V8" s="260"/>
      <c r="W8" s="260"/>
      <c r="X8" s="260"/>
      <c r="Y8" s="260"/>
      <c r="Z8" s="260"/>
      <c r="AA8" s="260"/>
      <c r="AB8" s="260"/>
      <c r="AC8" s="260"/>
      <c r="AD8" s="260"/>
      <c r="AE8" s="260"/>
      <c r="AJ8" s="259"/>
    </row>
    <row r="9" spans="2:36" x14ac:dyDescent="0.3">
      <c r="B9" s="243">
        <v>10</v>
      </c>
      <c r="C9" s="244">
        <v>3</v>
      </c>
      <c r="D9" s="244">
        <v>3</v>
      </c>
      <c r="E9" s="244">
        <v>8</v>
      </c>
      <c r="F9" s="245">
        <v>2</v>
      </c>
      <c r="G9" s="230"/>
      <c r="H9" s="230"/>
      <c r="I9" s="230"/>
      <c r="J9" s="246">
        <f t="shared" ca="1" si="0"/>
        <v>2</v>
      </c>
      <c r="K9" s="247">
        <f t="shared" ca="1" si="0"/>
        <v>2</v>
      </c>
      <c r="L9" s="247">
        <f t="shared" ca="1" si="0"/>
        <v>7</v>
      </c>
      <c r="M9" s="247">
        <f t="shared" ca="1" si="0"/>
        <v>5</v>
      </c>
      <c r="N9" s="247">
        <f t="shared" ca="1" si="0"/>
        <v>12</v>
      </c>
      <c r="O9" s="247">
        <f t="shared" ca="1" si="0"/>
        <v>3</v>
      </c>
      <c r="P9" s="247">
        <f t="shared" ca="1" si="0"/>
        <v>12</v>
      </c>
      <c r="Q9" s="247">
        <f t="shared" ca="1" si="0"/>
        <v>4</v>
      </c>
      <c r="R9" s="247">
        <f t="shared" ca="1" si="0"/>
        <v>3</v>
      </c>
      <c r="S9" s="247">
        <f t="shared" ca="1" si="0"/>
        <v>2</v>
      </c>
      <c r="V9" s="260"/>
      <c r="W9" s="260"/>
      <c r="X9" s="260"/>
      <c r="Y9" s="260"/>
      <c r="Z9" s="260"/>
      <c r="AA9" s="260"/>
      <c r="AB9" s="260"/>
      <c r="AC9" s="260"/>
      <c r="AD9" s="260"/>
      <c r="AE9" s="260"/>
    </row>
    <row r="10" spans="2:36" x14ac:dyDescent="0.3">
      <c r="B10" s="243">
        <v>7</v>
      </c>
      <c r="C10" s="244">
        <v>2</v>
      </c>
      <c r="D10" s="244">
        <v>3</v>
      </c>
      <c r="E10" s="244">
        <v>2</v>
      </c>
      <c r="F10" s="245">
        <v>3</v>
      </c>
      <c r="G10" s="230"/>
      <c r="H10" s="230"/>
      <c r="I10" s="230"/>
      <c r="J10" s="246">
        <f t="shared" ca="1" si="0"/>
        <v>2</v>
      </c>
      <c r="K10" s="247">
        <f t="shared" ca="1" si="0"/>
        <v>10</v>
      </c>
      <c r="L10" s="247">
        <f t="shared" ca="1" si="0"/>
        <v>2</v>
      </c>
      <c r="M10" s="247">
        <f t="shared" ca="1" si="0"/>
        <v>10</v>
      </c>
      <c r="N10" s="247">
        <f t="shared" ca="1" si="0"/>
        <v>5</v>
      </c>
      <c r="O10" s="247">
        <f t="shared" ca="1" si="0"/>
        <v>3</v>
      </c>
      <c r="P10" s="247">
        <f t="shared" ca="1" si="0"/>
        <v>5</v>
      </c>
      <c r="Q10" s="247">
        <f t="shared" ca="1" si="0"/>
        <v>3</v>
      </c>
      <c r="R10" s="247">
        <f t="shared" ca="1" si="0"/>
        <v>3</v>
      </c>
      <c r="S10" s="247">
        <f t="shared" ca="1" si="0"/>
        <v>3</v>
      </c>
      <c r="V10" s="260"/>
      <c r="W10" s="260"/>
      <c r="X10" s="260"/>
      <c r="Y10" s="260"/>
      <c r="Z10" s="260"/>
      <c r="AA10" s="260"/>
      <c r="AB10" s="260"/>
      <c r="AC10" s="260"/>
      <c r="AD10" s="260"/>
      <c r="AE10" s="260"/>
    </row>
    <row r="11" spans="2:36" x14ac:dyDescent="0.3">
      <c r="B11" s="243">
        <v>3</v>
      </c>
      <c r="C11" s="244">
        <v>1</v>
      </c>
      <c r="D11" s="244">
        <v>7</v>
      </c>
      <c r="E11" s="244">
        <v>12</v>
      </c>
      <c r="F11" s="245">
        <v>2</v>
      </c>
      <c r="J11" s="246">
        <f t="shared" ca="1" si="0"/>
        <v>12</v>
      </c>
      <c r="K11" s="247">
        <f t="shared" ca="1" si="0"/>
        <v>2</v>
      </c>
      <c r="L11" s="247">
        <f t="shared" ca="1" si="0"/>
        <v>3</v>
      </c>
      <c r="M11" s="247">
        <f t="shared" ca="1" si="0"/>
        <v>3</v>
      </c>
      <c r="N11" s="247">
        <f t="shared" ca="1" si="0"/>
        <v>3</v>
      </c>
      <c r="O11" s="247">
        <f t="shared" ca="1" si="0"/>
        <v>2</v>
      </c>
      <c r="P11" s="247">
        <f t="shared" ca="1" si="0"/>
        <v>1</v>
      </c>
      <c r="Q11" s="247">
        <f t="shared" ca="1" si="0"/>
        <v>10</v>
      </c>
      <c r="R11" s="247">
        <f t="shared" ca="1" si="0"/>
        <v>10</v>
      </c>
      <c r="S11" s="247">
        <f t="shared" ca="1" si="0"/>
        <v>2</v>
      </c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</row>
    <row r="12" spans="2:36" x14ac:dyDescent="0.3">
      <c r="B12" s="248">
        <v>2</v>
      </c>
      <c r="C12" s="249">
        <v>5</v>
      </c>
      <c r="D12" s="249">
        <v>3</v>
      </c>
      <c r="E12" s="249">
        <v>10</v>
      </c>
      <c r="F12" s="250">
        <v>1</v>
      </c>
      <c r="G12" s="251">
        <f>AVERAGE(B8:F12)</f>
        <v>4.3600000000000003</v>
      </c>
      <c r="J12" s="246">
        <f t="shared" ca="1" si="0"/>
        <v>2</v>
      </c>
      <c r="K12" s="247">
        <f t="shared" ca="1" si="0"/>
        <v>3</v>
      </c>
      <c r="L12" s="247">
        <f t="shared" ca="1" si="0"/>
        <v>8</v>
      </c>
      <c r="M12" s="247">
        <f t="shared" ca="1" si="0"/>
        <v>10</v>
      </c>
      <c r="N12" s="247">
        <f t="shared" ca="1" si="0"/>
        <v>3</v>
      </c>
      <c r="O12" s="247">
        <f t="shared" ca="1" si="0"/>
        <v>3</v>
      </c>
      <c r="P12" s="247">
        <f t="shared" ca="1" si="0"/>
        <v>2</v>
      </c>
      <c r="Q12" s="247">
        <f t="shared" ca="1" si="0"/>
        <v>3</v>
      </c>
      <c r="R12" s="247">
        <f t="shared" ca="1" si="0"/>
        <v>10</v>
      </c>
      <c r="S12" s="247">
        <f t="shared" ca="1" si="0"/>
        <v>3</v>
      </c>
      <c r="V12" s="260"/>
      <c r="W12" s="260"/>
      <c r="X12" s="260"/>
      <c r="Y12" s="260"/>
      <c r="Z12" s="260"/>
      <c r="AA12" s="260"/>
      <c r="AB12" s="260"/>
      <c r="AC12" s="260"/>
      <c r="AD12" s="260"/>
      <c r="AE12" s="260"/>
    </row>
    <row r="13" spans="2:36" x14ac:dyDescent="0.3">
      <c r="B13" s="229"/>
      <c r="C13" s="229"/>
      <c r="D13" s="229"/>
      <c r="E13" s="229"/>
      <c r="F13" s="229"/>
      <c r="J13" s="246">
        <f t="shared" ca="1" si="0"/>
        <v>10</v>
      </c>
      <c r="K13" s="247">
        <f t="shared" ca="1" si="0"/>
        <v>2</v>
      </c>
      <c r="L13" s="247">
        <f t="shared" ca="1" si="0"/>
        <v>3</v>
      </c>
      <c r="M13" s="247">
        <f t="shared" ca="1" si="0"/>
        <v>3</v>
      </c>
      <c r="N13" s="247">
        <f t="shared" ca="1" si="0"/>
        <v>2</v>
      </c>
      <c r="O13" s="247">
        <f t="shared" ca="1" si="0"/>
        <v>5</v>
      </c>
      <c r="P13" s="247">
        <f t="shared" ca="1" si="0"/>
        <v>4</v>
      </c>
      <c r="Q13" s="247">
        <f t="shared" ca="1" si="0"/>
        <v>2</v>
      </c>
      <c r="R13" s="247">
        <f t="shared" ca="1" si="0"/>
        <v>5</v>
      </c>
      <c r="S13" s="247">
        <f t="shared" ca="1" si="0"/>
        <v>2</v>
      </c>
      <c r="V13" s="260"/>
      <c r="W13" s="260"/>
      <c r="X13" s="260"/>
      <c r="Y13" s="260"/>
      <c r="Z13" s="260"/>
      <c r="AA13" s="260"/>
      <c r="AB13" s="260"/>
      <c r="AC13" s="260"/>
      <c r="AD13" s="260"/>
      <c r="AE13" s="260"/>
    </row>
    <row r="14" spans="2:36" x14ac:dyDescent="0.3">
      <c r="B14" s="228" t="s">
        <v>294</v>
      </c>
      <c r="C14" s="229"/>
      <c r="D14" s="229"/>
      <c r="E14" s="229"/>
      <c r="F14" s="229"/>
      <c r="J14" s="246">
        <f t="shared" ca="1" si="0"/>
        <v>5</v>
      </c>
      <c r="K14" s="247">
        <f t="shared" ca="1" si="0"/>
        <v>2</v>
      </c>
      <c r="L14" s="247">
        <f t="shared" ca="1" si="0"/>
        <v>1</v>
      </c>
      <c r="M14" s="247">
        <f t="shared" ca="1" si="0"/>
        <v>3</v>
      </c>
      <c r="N14" s="247">
        <f t="shared" ca="1" si="0"/>
        <v>4</v>
      </c>
      <c r="O14" s="247">
        <f t="shared" ca="1" si="0"/>
        <v>3</v>
      </c>
      <c r="P14" s="247">
        <f t="shared" ca="1" si="0"/>
        <v>2</v>
      </c>
      <c r="Q14" s="247">
        <f t="shared" ca="1" si="0"/>
        <v>1</v>
      </c>
      <c r="R14" s="247">
        <f t="shared" ca="1" si="0"/>
        <v>2</v>
      </c>
      <c r="S14" s="247">
        <f t="shared" ca="1" si="0"/>
        <v>4</v>
      </c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</row>
    <row r="15" spans="2:36" x14ac:dyDescent="0.3">
      <c r="B15" s="228" t="s">
        <v>295</v>
      </c>
      <c r="C15" s="229"/>
      <c r="D15" s="229"/>
      <c r="E15" s="229"/>
      <c r="F15" s="229"/>
      <c r="J15" s="246">
        <f t="shared" ca="1" si="0"/>
        <v>5</v>
      </c>
      <c r="K15" s="247">
        <f t="shared" ca="1" si="0"/>
        <v>5</v>
      </c>
      <c r="L15" s="247">
        <f t="shared" ca="1" si="0"/>
        <v>2</v>
      </c>
      <c r="M15" s="247">
        <f t="shared" ca="1" si="0"/>
        <v>2</v>
      </c>
      <c r="N15" s="247">
        <f t="shared" ca="1" si="0"/>
        <v>5</v>
      </c>
      <c r="O15" s="247">
        <f t="shared" ca="1" si="0"/>
        <v>2</v>
      </c>
      <c r="P15" s="247">
        <f t="shared" ca="1" si="0"/>
        <v>3</v>
      </c>
      <c r="Q15" s="247">
        <f t="shared" ca="1" si="0"/>
        <v>8</v>
      </c>
      <c r="R15" s="247">
        <f t="shared" ca="1" si="0"/>
        <v>5</v>
      </c>
      <c r="S15" s="247">
        <f t="shared" ca="1" si="0"/>
        <v>7</v>
      </c>
      <c r="V15" s="260"/>
      <c r="W15" s="260"/>
      <c r="X15" s="260"/>
      <c r="Y15" s="260"/>
      <c r="Z15" s="260"/>
      <c r="AA15" s="260"/>
      <c r="AB15" s="260"/>
      <c r="AC15" s="260"/>
      <c r="AD15" s="260"/>
      <c r="AE15" s="260"/>
    </row>
    <row r="16" spans="2:36" x14ac:dyDescent="0.3">
      <c r="B16" s="229"/>
      <c r="C16" s="229"/>
      <c r="D16" s="229"/>
      <c r="E16" s="229"/>
      <c r="F16" s="229"/>
      <c r="J16" s="246">
        <f t="shared" ca="1" si="0"/>
        <v>10</v>
      </c>
      <c r="K16" s="247">
        <f t="shared" ca="1" si="0"/>
        <v>7</v>
      </c>
      <c r="L16" s="247">
        <f t="shared" ca="1" si="0"/>
        <v>10</v>
      </c>
      <c r="M16" s="247">
        <f t="shared" ca="1" si="0"/>
        <v>5</v>
      </c>
      <c r="N16" s="247">
        <f t="shared" ca="1" si="0"/>
        <v>10</v>
      </c>
      <c r="O16" s="247">
        <f t="shared" ca="1" si="0"/>
        <v>7</v>
      </c>
      <c r="P16" s="247">
        <f t="shared" ca="1" si="0"/>
        <v>2</v>
      </c>
      <c r="Q16" s="247">
        <f t="shared" ca="1" si="0"/>
        <v>3</v>
      </c>
      <c r="R16" s="247">
        <f t="shared" ca="1" si="0"/>
        <v>3</v>
      </c>
      <c r="S16" s="247">
        <f t="shared" ca="1" si="0"/>
        <v>3</v>
      </c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</row>
    <row r="17" spans="2:31" x14ac:dyDescent="0.3">
      <c r="J17" s="246">
        <f t="shared" ca="1" si="0"/>
        <v>2</v>
      </c>
      <c r="K17" s="247">
        <f t="shared" ca="1" si="0"/>
        <v>2</v>
      </c>
      <c r="L17" s="247">
        <f t="shared" ca="1" si="0"/>
        <v>10</v>
      </c>
      <c r="M17" s="247">
        <f t="shared" ca="1" si="0"/>
        <v>4</v>
      </c>
      <c r="N17" s="247">
        <f t="shared" ca="1" si="0"/>
        <v>10</v>
      </c>
      <c r="O17" s="247">
        <f t="shared" ca="1" si="0"/>
        <v>2</v>
      </c>
      <c r="P17" s="247">
        <f t="shared" ca="1" si="0"/>
        <v>3</v>
      </c>
      <c r="Q17" s="247">
        <f t="shared" ca="1" si="0"/>
        <v>3</v>
      </c>
      <c r="R17" s="247">
        <f t="shared" ca="1" si="0"/>
        <v>2</v>
      </c>
      <c r="S17" s="247">
        <f t="shared" ca="1" si="0"/>
        <v>4</v>
      </c>
      <c r="V17" s="260"/>
      <c r="W17" s="260"/>
      <c r="X17" s="260"/>
      <c r="Y17" s="260"/>
      <c r="Z17" s="260"/>
      <c r="AA17" s="260"/>
      <c r="AB17" s="260"/>
      <c r="AC17" s="260"/>
      <c r="AD17" s="260"/>
      <c r="AE17" s="260"/>
    </row>
    <row r="18" spans="2:31" x14ac:dyDescent="0.3">
      <c r="B18" s="227" t="s">
        <v>296</v>
      </c>
      <c r="J18" s="246">
        <f t="shared" ca="1" si="0"/>
        <v>10</v>
      </c>
      <c r="K18" s="247">
        <f t="shared" ca="1" si="0"/>
        <v>3</v>
      </c>
      <c r="L18" s="247">
        <f t="shared" ca="1" si="0"/>
        <v>2</v>
      </c>
      <c r="M18" s="247">
        <f t="shared" ca="1" si="0"/>
        <v>10</v>
      </c>
      <c r="N18" s="247">
        <f t="shared" ca="1" si="0"/>
        <v>3</v>
      </c>
      <c r="O18" s="247">
        <f t="shared" ca="1" si="0"/>
        <v>5</v>
      </c>
      <c r="P18" s="247">
        <f t="shared" ca="1" si="0"/>
        <v>3</v>
      </c>
      <c r="Q18" s="247">
        <f t="shared" ca="1" si="0"/>
        <v>4</v>
      </c>
      <c r="R18" s="247">
        <f t="shared" ca="1" si="0"/>
        <v>4</v>
      </c>
      <c r="S18" s="247">
        <f t="shared" ca="1" si="0"/>
        <v>5</v>
      </c>
      <c r="V18" s="260"/>
      <c r="W18" s="260"/>
      <c r="X18" s="260"/>
      <c r="Y18" s="260"/>
      <c r="Z18" s="260"/>
      <c r="AA18" s="260"/>
      <c r="AB18" s="260"/>
      <c r="AC18" s="260"/>
      <c r="AD18" s="260"/>
      <c r="AE18" s="260"/>
    </row>
    <row r="19" spans="2:31" x14ac:dyDescent="0.3">
      <c r="B19" s="228" t="s">
        <v>297</v>
      </c>
      <c r="C19" s="229"/>
      <c r="D19" s="229"/>
      <c r="E19" s="229"/>
      <c r="J19" s="246">
        <f t="shared" ca="1" si="0"/>
        <v>1</v>
      </c>
      <c r="K19" s="247">
        <f t="shared" ca="1" si="0"/>
        <v>4</v>
      </c>
      <c r="L19" s="247">
        <f t="shared" ca="1" si="0"/>
        <v>3</v>
      </c>
      <c r="M19" s="247">
        <f t="shared" ca="1" si="0"/>
        <v>3</v>
      </c>
      <c r="N19" s="247">
        <f t="shared" ca="1" si="0"/>
        <v>3</v>
      </c>
      <c r="O19" s="247">
        <f t="shared" ca="1" si="0"/>
        <v>2</v>
      </c>
      <c r="P19" s="247">
        <f t="shared" ca="1" si="0"/>
        <v>2</v>
      </c>
      <c r="Q19" s="247">
        <f t="shared" ca="1" si="0"/>
        <v>5</v>
      </c>
      <c r="R19" s="247">
        <f t="shared" ca="1" si="0"/>
        <v>4</v>
      </c>
      <c r="S19" s="247">
        <f t="shared" ca="1" si="0"/>
        <v>2</v>
      </c>
      <c r="V19" s="260"/>
      <c r="W19" s="260"/>
      <c r="X19" s="260"/>
      <c r="Y19" s="260"/>
      <c r="Z19" s="260"/>
      <c r="AA19" s="260"/>
      <c r="AB19" s="260"/>
      <c r="AC19" s="260"/>
      <c r="AD19" s="260"/>
      <c r="AE19" s="260"/>
    </row>
    <row r="20" spans="2:31" x14ac:dyDescent="0.3">
      <c r="B20" s="252" t="s">
        <v>298</v>
      </c>
      <c r="C20" s="253"/>
      <c r="D20" s="253"/>
      <c r="E20" s="253"/>
      <c r="F20" s="254"/>
      <c r="G20" s="254"/>
      <c r="H20" s="254"/>
      <c r="J20" s="246">
        <f t="shared" ca="1" si="0"/>
        <v>2</v>
      </c>
      <c r="K20" s="247">
        <f t="shared" ca="1" si="0"/>
        <v>3</v>
      </c>
      <c r="L20" s="247">
        <f t="shared" ca="1" si="0"/>
        <v>12</v>
      </c>
      <c r="M20" s="247">
        <f t="shared" ca="1" si="0"/>
        <v>4</v>
      </c>
      <c r="N20" s="247">
        <f t="shared" ca="1" si="0"/>
        <v>7</v>
      </c>
      <c r="O20" s="247">
        <f t="shared" ca="1" si="0"/>
        <v>2</v>
      </c>
      <c r="P20" s="247">
        <f t="shared" ca="1" si="0"/>
        <v>3</v>
      </c>
      <c r="Q20" s="247">
        <f t="shared" ca="1" si="0"/>
        <v>2</v>
      </c>
      <c r="R20" s="247">
        <f t="shared" ca="1" si="0"/>
        <v>5</v>
      </c>
      <c r="S20" s="247">
        <f t="shared" ca="1" si="0"/>
        <v>3</v>
      </c>
      <c r="V20" s="260"/>
      <c r="W20" s="260"/>
      <c r="X20" s="260"/>
      <c r="Y20" s="260"/>
      <c r="Z20" s="260"/>
      <c r="AA20" s="260"/>
      <c r="AB20" s="260"/>
      <c r="AC20" s="260"/>
      <c r="AD20" s="260"/>
      <c r="AE20" s="260"/>
    </row>
    <row r="21" spans="2:31" x14ac:dyDescent="0.3">
      <c r="B21" s="228"/>
      <c r="C21" s="229"/>
      <c r="D21" s="229"/>
      <c r="E21" s="229"/>
      <c r="J21" s="246">
        <f t="shared" ca="1" si="0"/>
        <v>2</v>
      </c>
      <c r="K21" s="247">
        <f t="shared" ca="1" si="0"/>
        <v>3</v>
      </c>
      <c r="L21" s="247">
        <f t="shared" ca="1" si="0"/>
        <v>3</v>
      </c>
      <c r="M21" s="247">
        <f t="shared" ca="1" si="0"/>
        <v>2</v>
      </c>
      <c r="N21" s="247">
        <f t="shared" ca="1" si="0"/>
        <v>5</v>
      </c>
      <c r="O21" s="247">
        <f t="shared" ca="1" si="0"/>
        <v>10</v>
      </c>
      <c r="P21" s="247">
        <f t="shared" ca="1" si="0"/>
        <v>5</v>
      </c>
      <c r="Q21" s="247">
        <f t="shared" ca="1" si="0"/>
        <v>2</v>
      </c>
      <c r="R21" s="247">
        <f t="shared" ca="1" si="0"/>
        <v>3</v>
      </c>
      <c r="S21" s="247">
        <f t="shared" ca="1" si="0"/>
        <v>3</v>
      </c>
      <c r="V21" s="260"/>
      <c r="W21" s="260"/>
      <c r="X21" s="260"/>
      <c r="Y21" s="260"/>
      <c r="Z21" s="260"/>
      <c r="AA21" s="260"/>
      <c r="AB21" s="260"/>
      <c r="AC21" s="260"/>
      <c r="AD21" s="260"/>
      <c r="AE21" s="260"/>
    </row>
    <row r="22" spans="2:31" x14ac:dyDescent="0.3">
      <c r="B22" s="228" t="s">
        <v>299</v>
      </c>
      <c r="C22" s="229"/>
      <c r="D22" s="229"/>
      <c r="E22" s="229"/>
      <c r="J22" s="246">
        <f t="shared" ca="1" si="0"/>
        <v>4</v>
      </c>
      <c r="K22" s="247">
        <f t="shared" ca="1" si="0"/>
        <v>4</v>
      </c>
      <c r="L22" s="247">
        <f t="shared" ca="1" si="0"/>
        <v>3</v>
      </c>
      <c r="M22" s="247">
        <f t="shared" ca="1" si="0"/>
        <v>7</v>
      </c>
      <c r="N22" s="247">
        <f t="shared" ca="1" si="0"/>
        <v>3</v>
      </c>
      <c r="O22" s="247">
        <f t="shared" ca="1" si="0"/>
        <v>7</v>
      </c>
      <c r="P22" s="247">
        <f t="shared" ca="1" si="0"/>
        <v>10</v>
      </c>
      <c r="Q22" s="247">
        <f t="shared" ca="1" si="0"/>
        <v>2</v>
      </c>
      <c r="R22" s="247">
        <f t="shared" ca="1" si="0"/>
        <v>3</v>
      </c>
      <c r="S22" s="247">
        <f t="shared" ca="1" si="0"/>
        <v>3</v>
      </c>
      <c r="V22" s="260"/>
      <c r="W22" s="260"/>
      <c r="X22" s="260"/>
      <c r="Y22" s="260"/>
      <c r="Z22" s="260"/>
      <c r="AA22" s="260"/>
      <c r="AB22" s="260"/>
      <c r="AC22" s="260"/>
      <c r="AD22" s="260"/>
      <c r="AE22" s="260"/>
    </row>
    <row r="23" spans="2:31" x14ac:dyDescent="0.3">
      <c r="B23" s="228" t="s">
        <v>300</v>
      </c>
      <c r="C23" s="229"/>
      <c r="D23" s="229"/>
      <c r="E23" s="229"/>
      <c r="J23" s="246">
        <f t="shared" ca="1" si="0"/>
        <v>4</v>
      </c>
      <c r="K23" s="247">
        <f t="shared" ca="1" si="0"/>
        <v>7</v>
      </c>
      <c r="L23" s="247">
        <f t="shared" ca="1" si="0"/>
        <v>7</v>
      </c>
      <c r="M23" s="247">
        <f t="shared" ca="1" si="0"/>
        <v>4</v>
      </c>
      <c r="N23" s="247">
        <f t="shared" ca="1" si="0"/>
        <v>10</v>
      </c>
      <c r="O23" s="247">
        <f t="shared" ca="1" si="0"/>
        <v>3</v>
      </c>
      <c r="P23" s="247">
        <f t="shared" ca="1" si="0"/>
        <v>3</v>
      </c>
      <c r="Q23" s="247">
        <f t="shared" ca="1" si="0"/>
        <v>1</v>
      </c>
      <c r="R23" s="247">
        <f t="shared" ca="1" si="0"/>
        <v>5</v>
      </c>
      <c r="S23" s="247">
        <f t="shared" ca="1" si="0"/>
        <v>5</v>
      </c>
      <c r="V23" s="260"/>
      <c r="W23" s="260"/>
      <c r="X23" s="260"/>
      <c r="Y23" s="260"/>
      <c r="Z23" s="260"/>
      <c r="AA23" s="260"/>
      <c r="AB23" s="260"/>
      <c r="AC23" s="260"/>
      <c r="AD23" s="260"/>
      <c r="AE23" s="260"/>
    </row>
    <row r="24" spans="2:31" x14ac:dyDescent="0.3">
      <c r="B24" s="228"/>
      <c r="C24" s="229"/>
      <c r="D24" s="229"/>
      <c r="E24" s="229"/>
      <c r="J24" s="246">
        <f t="shared" ref="J24:S27" ca="1" si="1">SMALL($B$8:$F$12,RANDBETWEEN(1,$J$6))</f>
        <v>3</v>
      </c>
      <c r="K24" s="247">
        <f t="shared" ca="1" si="1"/>
        <v>2</v>
      </c>
      <c r="L24" s="247">
        <f t="shared" ca="1" si="1"/>
        <v>7</v>
      </c>
      <c r="M24" s="247">
        <f t="shared" ca="1" si="1"/>
        <v>2</v>
      </c>
      <c r="N24" s="247">
        <f t="shared" ca="1" si="1"/>
        <v>12</v>
      </c>
      <c r="O24" s="247">
        <f t="shared" ca="1" si="1"/>
        <v>2</v>
      </c>
      <c r="P24" s="247">
        <f t="shared" ca="1" si="1"/>
        <v>4</v>
      </c>
      <c r="Q24" s="247">
        <f t="shared" ca="1" si="1"/>
        <v>12</v>
      </c>
      <c r="R24" s="247">
        <f t="shared" ca="1" si="1"/>
        <v>3</v>
      </c>
      <c r="S24" s="247">
        <f t="shared" ca="1" si="1"/>
        <v>3</v>
      </c>
      <c r="V24" s="260"/>
      <c r="W24" s="260"/>
      <c r="X24" s="260"/>
      <c r="Y24" s="260"/>
      <c r="Z24" s="260"/>
      <c r="AA24" s="260"/>
      <c r="AB24" s="260"/>
      <c r="AC24" s="260"/>
      <c r="AD24" s="260"/>
      <c r="AE24" s="260"/>
    </row>
    <row r="25" spans="2:31" x14ac:dyDescent="0.3">
      <c r="B25" s="228" t="s">
        <v>301</v>
      </c>
      <c r="C25" s="229"/>
      <c r="D25" s="229"/>
      <c r="E25" s="229"/>
      <c r="J25" s="246">
        <f t="shared" ca="1" si="1"/>
        <v>10</v>
      </c>
      <c r="K25" s="247">
        <f t="shared" ca="1" si="1"/>
        <v>1</v>
      </c>
      <c r="L25" s="247">
        <f t="shared" ca="1" si="1"/>
        <v>2</v>
      </c>
      <c r="M25" s="247">
        <f t="shared" ca="1" si="1"/>
        <v>4</v>
      </c>
      <c r="N25" s="247">
        <f t="shared" ca="1" si="1"/>
        <v>3</v>
      </c>
      <c r="O25" s="247">
        <f t="shared" ca="1" si="1"/>
        <v>7</v>
      </c>
      <c r="P25" s="247">
        <f t="shared" ca="1" si="1"/>
        <v>7</v>
      </c>
      <c r="Q25" s="247">
        <f t="shared" ca="1" si="1"/>
        <v>3</v>
      </c>
      <c r="R25" s="247">
        <f t="shared" ca="1" si="1"/>
        <v>10</v>
      </c>
      <c r="S25" s="247">
        <f t="shared" ca="1" si="1"/>
        <v>12</v>
      </c>
      <c r="V25" s="260"/>
      <c r="W25" s="260"/>
      <c r="X25" s="260"/>
      <c r="Y25" s="260"/>
      <c r="Z25" s="260"/>
      <c r="AA25" s="260"/>
      <c r="AB25" s="260"/>
      <c r="AC25" s="260"/>
      <c r="AD25" s="260"/>
      <c r="AE25" s="260"/>
    </row>
    <row r="26" spans="2:31" x14ac:dyDescent="0.3">
      <c r="B26" s="228" t="s">
        <v>302</v>
      </c>
      <c r="C26" s="229"/>
      <c r="D26" s="229"/>
      <c r="E26" s="229"/>
      <c r="J26" s="246">
        <f t="shared" ca="1" si="1"/>
        <v>10</v>
      </c>
      <c r="K26" s="247">
        <f t="shared" ca="1" si="1"/>
        <v>10</v>
      </c>
      <c r="L26" s="247">
        <f t="shared" ca="1" si="1"/>
        <v>1</v>
      </c>
      <c r="M26" s="247">
        <f t="shared" ca="1" si="1"/>
        <v>3</v>
      </c>
      <c r="N26" s="247">
        <f t="shared" ca="1" si="1"/>
        <v>3</v>
      </c>
      <c r="O26" s="247">
        <f t="shared" ca="1" si="1"/>
        <v>5</v>
      </c>
      <c r="P26" s="247">
        <f t="shared" ca="1" si="1"/>
        <v>2</v>
      </c>
      <c r="Q26" s="247">
        <f t="shared" ca="1" si="1"/>
        <v>12</v>
      </c>
      <c r="R26" s="247">
        <f t="shared" ca="1" si="1"/>
        <v>1</v>
      </c>
      <c r="S26" s="247">
        <f t="shared" ca="1" si="1"/>
        <v>3</v>
      </c>
      <c r="V26" s="260"/>
      <c r="W26" s="260"/>
      <c r="X26" s="260"/>
      <c r="Y26" s="260"/>
      <c r="Z26" s="260"/>
      <c r="AA26" s="260"/>
      <c r="AB26" s="260"/>
      <c r="AC26" s="260"/>
      <c r="AD26" s="260"/>
      <c r="AE26" s="260"/>
    </row>
    <row r="27" spans="2:31" x14ac:dyDescent="0.3">
      <c r="J27" s="255">
        <f t="shared" ca="1" si="1"/>
        <v>3</v>
      </c>
      <c r="K27" s="256">
        <f t="shared" ca="1" si="1"/>
        <v>1</v>
      </c>
      <c r="L27" s="256">
        <f t="shared" ca="1" si="1"/>
        <v>3</v>
      </c>
      <c r="M27" s="256">
        <f t="shared" ca="1" si="1"/>
        <v>7</v>
      </c>
      <c r="N27" s="256">
        <f t="shared" ca="1" si="1"/>
        <v>7</v>
      </c>
      <c r="O27" s="256">
        <f t="shared" ca="1" si="1"/>
        <v>4</v>
      </c>
      <c r="P27" s="256">
        <f t="shared" ca="1" si="1"/>
        <v>2</v>
      </c>
      <c r="Q27" s="256">
        <f t="shared" ca="1" si="1"/>
        <v>5</v>
      </c>
      <c r="R27" s="256">
        <f t="shared" ca="1" si="1"/>
        <v>3</v>
      </c>
      <c r="S27" s="256">
        <f t="shared" ca="1" si="1"/>
        <v>10</v>
      </c>
      <c r="V27" s="260"/>
      <c r="W27" s="260"/>
      <c r="X27" s="260"/>
      <c r="Y27" s="260"/>
      <c r="Z27" s="260"/>
      <c r="AA27" s="260"/>
      <c r="AB27" s="260"/>
      <c r="AC27" s="260"/>
      <c r="AD27" s="260"/>
      <c r="AE27" s="260"/>
    </row>
  </sheetData>
  <conditionalFormatting sqref="B8:F12">
    <cfRule type="cellIs" dxfId="3" priority="1" stopIfTrue="1" operator="equal">
      <formula>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81F1F-7B40-4A06-BCE6-9BA690C2AE59}">
  <dimension ref="A1:AE38"/>
  <sheetViews>
    <sheetView showGridLines="0" zoomScale="54" zoomScaleNormal="70" workbookViewId="0">
      <selection activeCell="M29" sqref="M29"/>
    </sheetView>
  </sheetViews>
  <sheetFormatPr defaultRowHeight="14.5" x14ac:dyDescent="0.35"/>
  <cols>
    <col min="1" max="1" width="38.453125" customWidth="1"/>
    <col min="2" max="2" width="8.26953125" customWidth="1"/>
    <col min="3" max="3" width="9" customWidth="1"/>
    <col min="4" max="4" width="7.26953125" customWidth="1"/>
    <col min="5" max="5" width="8" customWidth="1"/>
    <col min="6" max="6" width="7.54296875" customWidth="1"/>
    <col min="7" max="7" width="7" customWidth="1"/>
    <col min="8" max="8" width="6.7265625" customWidth="1"/>
    <col min="9" max="9" width="7.453125" customWidth="1"/>
    <col min="10" max="10" width="6.7265625" customWidth="1"/>
    <col min="11" max="11" width="7.54296875" customWidth="1"/>
    <col min="12" max="12" width="9.1796875" customWidth="1"/>
    <col min="13" max="13" width="8.54296875" customWidth="1"/>
    <col min="14" max="14" width="7.453125" customWidth="1"/>
    <col min="15" max="15" width="7.54296875" customWidth="1"/>
    <col min="16" max="16" width="8.7265625" customWidth="1"/>
    <col min="17" max="17" width="7.54296875" customWidth="1"/>
    <col min="18" max="18" width="7.453125" customWidth="1"/>
    <col min="19" max="19" width="7" customWidth="1"/>
    <col min="20" max="20" width="9.26953125" customWidth="1"/>
    <col min="21" max="21" width="7.7265625" customWidth="1"/>
    <col min="22" max="22" width="6.7265625" customWidth="1"/>
    <col min="23" max="23" width="7" customWidth="1"/>
    <col min="24" max="24" width="7.453125" customWidth="1"/>
    <col min="25" max="25" width="7.26953125" customWidth="1"/>
    <col min="29" max="29" width="17.453125" customWidth="1"/>
    <col min="31" max="31" width="22.453125" customWidth="1"/>
  </cols>
  <sheetData>
    <row r="1" spans="1:31" ht="15" thickBot="1" x14ac:dyDescent="0.4"/>
    <row r="2" spans="1:31" ht="15" thickBot="1" x14ac:dyDescent="0.4">
      <c r="A2" s="103" t="s">
        <v>303</v>
      </c>
      <c r="B2" s="104">
        <v>44197</v>
      </c>
      <c r="C2" s="104">
        <v>44228</v>
      </c>
      <c r="D2" s="105">
        <v>44256</v>
      </c>
      <c r="E2" s="104">
        <v>44287</v>
      </c>
      <c r="F2" s="106">
        <v>44317</v>
      </c>
      <c r="G2" s="106">
        <v>44348</v>
      </c>
      <c r="H2" s="106">
        <v>44378</v>
      </c>
      <c r="I2" s="106">
        <v>44409</v>
      </c>
      <c r="J2" s="106">
        <v>44440</v>
      </c>
      <c r="K2" s="106">
        <v>44470</v>
      </c>
      <c r="L2" s="106">
        <v>44501</v>
      </c>
      <c r="M2" s="106">
        <v>44531</v>
      </c>
      <c r="N2" s="106">
        <v>44562</v>
      </c>
      <c r="O2" s="106">
        <v>44593</v>
      </c>
      <c r="P2" s="106">
        <v>44621</v>
      </c>
      <c r="Q2" s="106">
        <v>44652</v>
      </c>
      <c r="R2" s="106">
        <v>44682</v>
      </c>
      <c r="S2" s="106">
        <v>44713</v>
      </c>
      <c r="T2" s="106">
        <v>44743</v>
      </c>
      <c r="U2" s="106">
        <v>44774</v>
      </c>
      <c r="V2" s="106">
        <v>44805</v>
      </c>
      <c r="W2" s="106">
        <v>44835</v>
      </c>
      <c r="X2" s="107">
        <v>44866</v>
      </c>
      <c r="Y2" s="330">
        <v>44896</v>
      </c>
    </row>
    <row r="3" spans="1:31" s="101" customFormat="1" x14ac:dyDescent="0.35">
      <c r="A3" s="692" t="s">
        <v>304</v>
      </c>
      <c r="B3" s="693"/>
      <c r="C3" s="693"/>
      <c r="D3" s="693"/>
      <c r="E3" s="693"/>
      <c r="F3" s="693"/>
      <c r="G3" s="693"/>
      <c r="H3" s="693"/>
      <c r="I3" s="693"/>
      <c r="J3" s="693"/>
      <c r="K3" s="693"/>
      <c r="L3" s="693"/>
      <c r="M3" s="693"/>
      <c r="N3" s="693"/>
      <c r="O3" s="693"/>
      <c r="P3" s="693"/>
      <c r="Q3" s="693"/>
      <c r="R3" s="693"/>
      <c r="S3" s="693"/>
      <c r="T3" s="693"/>
      <c r="U3" s="693"/>
      <c r="V3" s="693"/>
      <c r="W3" s="693"/>
      <c r="X3" s="693"/>
      <c r="Y3" s="694"/>
      <c r="AC3" s="698" t="s">
        <v>237</v>
      </c>
      <c r="AD3" s="699"/>
      <c r="AE3" s="700"/>
    </row>
    <row r="4" spans="1:31" x14ac:dyDescent="0.35">
      <c r="A4" s="331" t="s">
        <v>305</v>
      </c>
      <c r="B4" s="523">
        <v>30</v>
      </c>
      <c r="C4" s="523">
        <v>0</v>
      </c>
      <c r="D4" s="523">
        <v>0</v>
      </c>
      <c r="E4" s="523">
        <v>72</v>
      </c>
      <c r="F4" s="523">
        <v>0</v>
      </c>
      <c r="G4" s="523">
        <v>48</v>
      </c>
      <c r="H4" s="523">
        <v>0</v>
      </c>
      <c r="I4" s="523">
        <v>6.04</v>
      </c>
      <c r="J4" s="523">
        <v>133.96</v>
      </c>
      <c r="K4" s="523">
        <v>78</v>
      </c>
      <c r="L4" s="523">
        <v>96.37</v>
      </c>
      <c r="M4" s="523">
        <v>55.88</v>
      </c>
      <c r="N4" s="523">
        <v>120.86</v>
      </c>
      <c r="O4" s="524">
        <v>63.15</v>
      </c>
      <c r="P4" s="524">
        <v>30</v>
      </c>
      <c r="Q4" s="523">
        <v>0</v>
      </c>
      <c r="R4" s="523">
        <v>30.71</v>
      </c>
      <c r="S4" s="524">
        <v>46.27</v>
      </c>
      <c r="T4" s="524">
        <v>29.99</v>
      </c>
      <c r="U4" s="524">
        <v>30</v>
      </c>
      <c r="V4" s="524">
        <v>37.61</v>
      </c>
      <c r="W4" s="523">
        <v>82.39</v>
      </c>
      <c r="X4" s="524">
        <v>16</v>
      </c>
      <c r="Y4" s="525">
        <v>29.99</v>
      </c>
      <c r="AC4" s="530" t="s">
        <v>306</v>
      </c>
      <c r="AD4" s="532" t="s">
        <v>307</v>
      </c>
      <c r="AE4" s="531" t="s">
        <v>308</v>
      </c>
    </row>
    <row r="5" spans="1:31" x14ac:dyDescent="0.35">
      <c r="A5" s="331" t="s">
        <v>309</v>
      </c>
      <c r="B5" s="45">
        <v>100</v>
      </c>
      <c r="C5" s="45">
        <v>110</v>
      </c>
      <c r="D5" s="45">
        <v>130</v>
      </c>
      <c r="E5" s="45">
        <v>273</v>
      </c>
      <c r="F5" s="45">
        <v>273</v>
      </c>
      <c r="G5" s="45">
        <v>480</v>
      </c>
      <c r="H5" s="45">
        <v>480</v>
      </c>
      <c r="I5" s="45">
        <v>503</v>
      </c>
      <c r="J5" s="45">
        <v>775</v>
      </c>
      <c r="K5" s="45">
        <v>831</v>
      </c>
      <c r="L5" s="45">
        <v>980</v>
      </c>
      <c r="M5" s="45">
        <v>984</v>
      </c>
      <c r="N5" s="45">
        <v>1315</v>
      </c>
      <c r="O5" s="78">
        <v>1603</v>
      </c>
      <c r="P5" s="78">
        <v>1687</v>
      </c>
      <c r="Q5" s="78">
        <v>1687</v>
      </c>
      <c r="R5" s="78">
        <v>1826</v>
      </c>
      <c r="S5" s="78">
        <v>1968</v>
      </c>
      <c r="T5" s="78">
        <v>2003</v>
      </c>
      <c r="U5" s="78">
        <v>2129</v>
      </c>
      <c r="V5" s="78">
        <v>2236</v>
      </c>
      <c r="W5" s="78">
        <v>2627</v>
      </c>
      <c r="X5" s="78">
        <v>2701</v>
      </c>
      <c r="Y5" s="287">
        <v>2762</v>
      </c>
      <c r="AC5" s="534" t="s">
        <v>310</v>
      </c>
      <c r="AD5" s="533" t="s">
        <v>311</v>
      </c>
      <c r="AE5" s="283" t="str">
        <f ca="1">_xlfn.FORMULATEXT(B6)</f>
        <v>=B7/B5</v>
      </c>
    </row>
    <row r="6" spans="1:31" x14ac:dyDescent="0.35">
      <c r="A6" s="331" t="s">
        <v>310</v>
      </c>
      <c r="B6" s="526">
        <f>B7/B5</f>
        <v>3.3254809983660101E-2</v>
      </c>
      <c r="C6" s="526">
        <f t="shared" ref="C6:Y6" si="0">C7/C5</f>
        <v>2.67994628952994E-2</v>
      </c>
      <c r="D6" s="526">
        <f t="shared" si="0"/>
        <v>3.6785956564500497E-2</v>
      </c>
      <c r="E6" s="526">
        <f t="shared" si="0"/>
        <v>3.0547150692261597E-2</v>
      </c>
      <c r="F6" s="526">
        <f t="shared" si="0"/>
        <v>4.4537798052337402E-2</v>
      </c>
      <c r="G6" s="526">
        <f t="shared" si="0"/>
        <v>1.55238755620184E-2</v>
      </c>
      <c r="H6" s="526">
        <f t="shared" si="0"/>
        <v>7.2172346573700199E-3</v>
      </c>
      <c r="I6" s="526">
        <f t="shared" si="0"/>
        <v>1.7073716121500999E-2</v>
      </c>
      <c r="J6" s="526">
        <f t="shared" si="0"/>
        <v>8.9014740668310992E-3</v>
      </c>
      <c r="K6" s="526">
        <f t="shared" si="0"/>
        <v>2.0711643771544001E-3</v>
      </c>
      <c r="L6" s="526">
        <f t="shared" si="0"/>
        <v>4.8670359012936704E-3</v>
      </c>
      <c r="M6" s="526">
        <f t="shared" si="0"/>
        <v>3.61469168614239E-3</v>
      </c>
      <c r="N6" s="526">
        <f t="shared" si="0"/>
        <v>3.4807382739741699E-3</v>
      </c>
      <c r="O6" s="526">
        <f t="shared" si="0"/>
        <v>3.1388192854983994E-3</v>
      </c>
      <c r="P6" s="526">
        <f t="shared" si="0"/>
        <v>4.0298955638904503E-3</v>
      </c>
      <c r="Q6" s="526">
        <f t="shared" si="0"/>
        <v>3.31029221166672E-3</v>
      </c>
      <c r="R6" s="526">
        <f t="shared" si="0"/>
        <v>1.1081780737469E-2</v>
      </c>
      <c r="S6" s="526">
        <f t="shared" si="0"/>
        <v>1.31495613000481E-2</v>
      </c>
      <c r="T6" s="526">
        <f t="shared" si="0"/>
        <v>1.42671108879063E-2</v>
      </c>
      <c r="U6" s="526">
        <f t="shared" si="0"/>
        <v>6.7619222519228099E-3</v>
      </c>
      <c r="V6" s="526">
        <f t="shared" si="0"/>
        <v>3.8379532717692697E-3</v>
      </c>
      <c r="W6" s="526">
        <f t="shared" si="0"/>
        <v>4.1869812423562499E-3</v>
      </c>
      <c r="X6" s="526">
        <f t="shared" si="0"/>
        <v>4.4568336311157E-3</v>
      </c>
      <c r="Y6" s="527">
        <f t="shared" si="0"/>
        <v>5.2082307750585498E-3</v>
      </c>
      <c r="AC6" s="535" t="s">
        <v>312</v>
      </c>
      <c r="AD6" s="533" t="s">
        <v>313</v>
      </c>
      <c r="AE6" s="283" t="str">
        <f ca="1">_xlfn.FORMULATEXT(B8)</f>
        <v>=B4/B7</v>
      </c>
    </row>
    <row r="7" spans="1:31" x14ac:dyDescent="0.35">
      <c r="A7" s="332" t="s">
        <v>314</v>
      </c>
      <c r="B7" s="81">
        <v>3.3254809983660101</v>
      </c>
      <c r="C7" s="81">
        <v>2.9479409184829342</v>
      </c>
      <c r="D7" s="81">
        <v>4.7821743533850647</v>
      </c>
      <c r="E7" s="81">
        <v>8.3393721389874162</v>
      </c>
      <c r="F7" s="81">
        <v>12.15881886828811</v>
      </c>
      <c r="G7" s="81">
        <v>7.4514602697688321</v>
      </c>
      <c r="H7" s="81">
        <v>3.4642726355376094</v>
      </c>
      <c r="I7" s="81">
        <v>8.5880792091150031</v>
      </c>
      <c r="J7" s="81">
        <v>6.8986424017941017</v>
      </c>
      <c r="K7" s="81">
        <v>1.7211375974153065</v>
      </c>
      <c r="L7" s="81">
        <v>4.769695183267797</v>
      </c>
      <c r="M7" s="81">
        <v>3.5568566191641118</v>
      </c>
      <c r="N7" s="81">
        <v>4.5771708302760334</v>
      </c>
      <c r="O7" s="81">
        <v>5.0315273146539345</v>
      </c>
      <c r="P7" s="81">
        <v>6.7984338162831897</v>
      </c>
      <c r="Q7" s="81">
        <v>5.5844629610817567</v>
      </c>
      <c r="R7" s="81">
        <v>20.235331626618393</v>
      </c>
      <c r="S7" s="81">
        <v>25.878336638494659</v>
      </c>
      <c r="T7" s="81">
        <v>28.577023108476318</v>
      </c>
      <c r="U7" s="81">
        <v>14.396132474343663</v>
      </c>
      <c r="V7" s="81">
        <v>8.5816635156760874</v>
      </c>
      <c r="W7" s="81">
        <v>10.999199723669868</v>
      </c>
      <c r="X7" s="81">
        <v>12.037907637643505</v>
      </c>
      <c r="Y7" s="316">
        <v>14.385133400711714</v>
      </c>
      <c r="AC7" s="535" t="s">
        <v>315</v>
      </c>
      <c r="AD7" s="533" t="s">
        <v>316</v>
      </c>
      <c r="AE7" s="283" t="str">
        <f ca="1">_xlfn.FORMULATEXT(B9)</f>
        <v>=B7*240</v>
      </c>
    </row>
    <row r="8" spans="1:31" ht="15" thickBot="1" x14ac:dyDescent="0.4">
      <c r="A8" s="332" t="s">
        <v>317</v>
      </c>
      <c r="B8" s="83">
        <f>B4/B7</f>
        <v>9.0212513662657017</v>
      </c>
      <c r="C8" s="83">
        <f t="shared" ref="C8:Y8" si="1">C4/C7</f>
        <v>0</v>
      </c>
      <c r="D8" s="83">
        <f t="shared" si="1"/>
        <v>0</v>
      </c>
      <c r="E8" s="83">
        <f t="shared" si="1"/>
        <v>8.6337435001122742</v>
      </c>
      <c r="F8" s="83">
        <f t="shared" si="1"/>
        <v>0</v>
      </c>
      <c r="G8" s="83">
        <f t="shared" si="1"/>
        <v>6.4416903884920149</v>
      </c>
      <c r="H8" s="83">
        <f t="shared" si="1"/>
        <v>0</v>
      </c>
      <c r="I8" s="83">
        <f t="shared" si="1"/>
        <v>0.70330045321303214</v>
      </c>
      <c r="J8" s="83">
        <f t="shared" si="1"/>
        <v>19.418313372086306</v>
      </c>
      <c r="K8" s="83">
        <f t="shared" si="1"/>
        <v>45.318863591810079</v>
      </c>
      <c r="L8" s="83">
        <f t="shared" si="1"/>
        <v>20.20464543270359</v>
      </c>
      <c r="M8" s="83">
        <f t="shared" si="1"/>
        <v>15.71050114837978</v>
      </c>
      <c r="N8" s="83">
        <f t="shared" si="1"/>
        <v>26.404957228286658</v>
      </c>
      <c r="O8" s="83">
        <f t="shared" si="1"/>
        <v>12.550861011144768</v>
      </c>
      <c r="P8" s="83">
        <f t="shared" si="1"/>
        <v>4.4127810626244308</v>
      </c>
      <c r="Q8" s="83">
        <f t="shared" si="1"/>
        <v>0</v>
      </c>
      <c r="R8" s="83">
        <f t="shared" si="1"/>
        <v>1.5176425356727437</v>
      </c>
      <c r="S8" s="83">
        <f t="shared" si="1"/>
        <v>1.7879819961524206</v>
      </c>
      <c r="T8" s="83">
        <f t="shared" si="1"/>
        <v>1.0494445095334151</v>
      </c>
      <c r="U8" s="83">
        <f t="shared" si="1"/>
        <v>2.0838930215087323</v>
      </c>
      <c r="V8" s="83">
        <f t="shared" si="1"/>
        <v>4.3826001720176953</v>
      </c>
      <c r="W8" s="83">
        <f t="shared" si="1"/>
        <v>7.4905449550752126</v>
      </c>
      <c r="X8" s="83">
        <f t="shared" si="1"/>
        <v>1.3291346371496251</v>
      </c>
      <c r="Y8" s="315">
        <f t="shared" si="1"/>
        <v>2.0847912330459324</v>
      </c>
      <c r="AC8" s="536" t="s">
        <v>318</v>
      </c>
      <c r="AD8" s="537" t="s">
        <v>319</v>
      </c>
      <c r="AE8" s="297" t="str">
        <f ca="1">_xlfn.FORMULATEXT(B10)</f>
        <v>=IFERROR((B9-B4)/B4,0)</v>
      </c>
    </row>
    <row r="9" spans="1:31" x14ac:dyDescent="0.35">
      <c r="A9" s="332" t="s">
        <v>320</v>
      </c>
      <c r="B9" s="83">
        <f>B7*240</f>
        <v>798.1154396078424</v>
      </c>
      <c r="C9" s="83">
        <f t="shared" ref="C9:Y9" si="2">C7*240</f>
        <v>707.50582043590418</v>
      </c>
      <c r="D9" s="83">
        <f t="shared" si="2"/>
        <v>1147.7218448124156</v>
      </c>
      <c r="E9" s="83">
        <f t="shared" si="2"/>
        <v>2001.4493133569799</v>
      </c>
      <c r="F9" s="83">
        <f t="shared" si="2"/>
        <v>2918.1165283891464</v>
      </c>
      <c r="G9" s="83">
        <f t="shared" si="2"/>
        <v>1788.3504647445197</v>
      </c>
      <c r="H9" s="83">
        <f t="shared" si="2"/>
        <v>831.42543252902624</v>
      </c>
      <c r="I9" s="83">
        <f t="shared" si="2"/>
        <v>2061.1390101876009</v>
      </c>
      <c r="J9" s="83">
        <f t="shared" si="2"/>
        <v>1655.6741764305843</v>
      </c>
      <c r="K9" s="83">
        <f t="shared" si="2"/>
        <v>413.07302337967354</v>
      </c>
      <c r="L9" s="83">
        <f t="shared" si="2"/>
        <v>1144.7268439842712</v>
      </c>
      <c r="M9" s="83">
        <f t="shared" si="2"/>
        <v>853.64558859938688</v>
      </c>
      <c r="N9" s="83">
        <f t="shared" si="2"/>
        <v>1098.5209992662481</v>
      </c>
      <c r="O9" s="83">
        <f t="shared" si="2"/>
        <v>1207.5665555169444</v>
      </c>
      <c r="P9" s="83">
        <f t="shared" si="2"/>
        <v>1631.6241159079655</v>
      </c>
      <c r="Q9" s="83">
        <f t="shared" si="2"/>
        <v>1340.2711106596216</v>
      </c>
      <c r="R9" s="83">
        <f t="shared" si="2"/>
        <v>4856.4795903884142</v>
      </c>
      <c r="S9" s="83">
        <f t="shared" si="2"/>
        <v>6210.8007932387181</v>
      </c>
      <c r="T9" s="83">
        <f t="shared" si="2"/>
        <v>6858.485546034316</v>
      </c>
      <c r="U9" s="83">
        <f t="shared" si="2"/>
        <v>3455.0717938424791</v>
      </c>
      <c r="V9" s="83">
        <f t="shared" si="2"/>
        <v>2059.5992437622608</v>
      </c>
      <c r="W9" s="83">
        <f t="shared" si="2"/>
        <v>2639.8079336807682</v>
      </c>
      <c r="X9" s="83">
        <f t="shared" si="2"/>
        <v>2889.097833034441</v>
      </c>
      <c r="Y9" s="315">
        <f t="shared" si="2"/>
        <v>3452.4320161708115</v>
      </c>
      <c r="AC9" s="45"/>
      <c r="AD9" s="45"/>
      <c r="AE9" s="45"/>
    </row>
    <row r="10" spans="1:31" x14ac:dyDescent="0.35">
      <c r="A10" s="332" t="s">
        <v>321</v>
      </c>
      <c r="B10" s="81">
        <f>IFERROR((B9-B4)/B4,0)</f>
        <v>25.603847986928081</v>
      </c>
      <c r="C10" s="81">
        <f t="shared" ref="C10:Y10" si="3">IFERROR((C9-C4)/C4,0)</f>
        <v>0</v>
      </c>
      <c r="D10" s="81">
        <f t="shared" si="3"/>
        <v>0</v>
      </c>
      <c r="E10" s="81">
        <f t="shared" si="3"/>
        <v>26.797907129958055</v>
      </c>
      <c r="F10" s="81">
        <f t="shared" si="3"/>
        <v>0</v>
      </c>
      <c r="G10" s="81">
        <f t="shared" si="3"/>
        <v>36.257301348844159</v>
      </c>
      <c r="H10" s="81">
        <f t="shared" si="3"/>
        <v>0</v>
      </c>
      <c r="I10" s="81">
        <f t="shared" si="3"/>
        <v>340.2481804946359</v>
      </c>
      <c r="J10" s="81">
        <f t="shared" si="3"/>
        <v>11.35946682913246</v>
      </c>
      <c r="K10" s="81">
        <f t="shared" si="3"/>
        <v>4.2958079920470968</v>
      </c>
      <c r="L10" s="81">
        <f t="shared" si="3"/>
        <v>10.878456407432511</v>
      </c>
      <c r="M10" s="81">
        <f t="shared" si="3"/>
        <v>14.276406381520882</v>
      </c>
      <c r="N10" s="81">
        <f t="shared" si="3"/>
        <v>8.0892023768512988</v>
      </c>
      <c r="O10" s="81">
        <f t="shared" si="3"/>
        <v>18.122194069943696</v>
      </c>
      <c r="P10" s="81">
        <f t="shared" si="3"/>
        <v>53.387470530265517</v>
      </c>
      <c r="Q10" s="81">
        <f t="shared" si="3"/>
        <v>0</v>
      </c>
      <c r="R10" s="81">
        <f t="shared" si="3"/>
        <v>157.1400061995576</v>
      </c>
      <c r="S10" s="81">
        <f t="shared" si="3"/>
        <v>133.22953951239933</v>
      </c>
      <c r="T10" s="81">
        <f t="shared" si="3"/>
        <v>227.6924156730349</v>
      </c>
      <c r="U10" s="81">
        <f t="shared" si="3"/>
        <v>114.1690597947493</v>
      </c>
      <c r="V10" s="81">
        <f t="shared" si="3"/>
        <v>53.762011267276279</v>
      </c>
      <c r="W10" s="81">
        <f t="shared" si="3"/>
        <v>31.040392446665471</v>
      </c>
      <c r="X10" s="81">
        <f t="shared" si="3"/>
        <v>179.56861456465256</v>
      </c>
      <c r="Y10" s="316">
        <f t="shared" si="3"/>
        <v>114.11944035247789</v>
      </c>
      <c r="AC10" s="45"/>
      <c r="AD10" s="45"/>
      <c r="AE10" s="45"/>
    </row>
    <row r="11" spans="1:31" x14ac:dyDescent="0.35">
      <c r="A11" s="692" t="s">
        <v>322</v>
      </c>
      <c r="B11" s="693"/>
      <c r="C11" s="693"/>
      <c r="D11" s="693"/>
      <c r="E11" s="693"/>
      <c r="F11" s="693"/>
      <c r="G11" s="693"/>
      <c r="H11" s="693"/>
      <c r="I11" s="693"/>
      <c r="J11" s="693"/>
      <c r="K11" s="693"/>
      <c r="L11" s="693"/>
      <c r="M11" s="693"/>
      <c r="N11" s="693"/>
      <c r="O11" s="693"/>
      <c r="P11" s="693"/>
      <c r="Q11" s="693"/>
      <c r="R11" s="693"/>
      <c r="S11" s="693"/>
      <c r="T11" s="693"/>
      <c r="U11" s="693"/>
      <c r="V11" s="693"/>
      <c r="W11" s="693"/>
      <c r="X11" s="693"/>
      <c r="Y11" s="694"/>
      <c r="AC11" s="45"/>
      <c r="AD11" s="45"/>
      <c r="AE11" s="45"/>
    </row>
    <row r="12" spans="1:31" x14ac:dyDescent="0.35">
      <c r="A12" s="331" t="s">
        <v>305</v>
      </c>
      <c r="B12" s="83">
        <v>15.356144872741799</v>
      </c>
      <c r="C12" s="83">
        <v>38.9792865628065</v>
      </c>
      <c r="D12" s="83">
        <v>30.011751614267599</v>
      </c>
      <c r="E12" s="83">
        <v>24.544997852078499</v>
      </c>
      <c r="F12" s="83">
        <v>6.39676425813989</v>
      </c>
      <c r="G12" s="83">
        <v>6.3957753337843002</v>
      </c>
      <c r="H12" s="83">
        <v>2.38142809889617</v>
      </c>
      <c r="I12" s="83">
        <v>35.5132219767723</v>
      </c>
      <c r="J12" s="83">
        <v>24.645715481471498</v>
      </c>
      <c r="K12" s="83">
        <v>29.030975689637799</v>
      </c>
      <c r="L12" s="83">
        <v>20</v>
      </c>
      <c r="M12" s="83">
        <v>39.766303938641698</v>
      </c>
      <c r="N12" s="83">
        <v>34.130148272817202</v>
      </c>
      <c r="O12" s="83">
        <v>8.7059035378093199</v>
      </c>
      <c r="P12" s="83">
        <v>17.454823655491101</v>
      </c>
      <c r="Q12" s="83">
        <v>27.519584903990701</v>
      </c>
      <c r="R12" s="83">
        <v>32.473931961341002</v>
      </c>
      <c r="S12" s="83">
        <v>21.515013696921699</v>
      </c>
      <c r="T12" s="83">
        <v>17.709745764326701</v>
      </c>
      <c r="U12" s="83">
        <v>11.940394748119701</v>
      </c>
      <c r="V12" s="83">
        <v>25.085968683617502</v>
      </c>
      <c r="W12" s="83">
        <v>5.71924828673371</v>
      </c>
      <c r="X12" s="83">
        <v>11.977930589943901</v>
      </c>
      <c r="Y12" s="315">
        <v>15.0208355750413</v>
      </c>
      <c r="AC12" s="45"/>
      <c r="AD12" s="45"/>
      <c r="AE12" s="45"/>
    </row>
    <row r="13" spans="1:31" x14ac:dyDescent="0.35">
      <c r="A13" s="331" t="s">
        <v>323</v>
      </c>
      <c r="B13" s="81">
        <v>90.371421918787703</v>
      </c>
      <c r="C13" s="81">
        <v>295.1109165262767</v>
      </c>
      <c r="D13" s="81">
        <v>482.09300359738472</v>
      </c>
      <c r="E13" s="81">
        <v>613.38640691727574</v>
      </c>
      <c r="F13" s="81">
        <v>639.58781408856316</v>
      </c>
      <c r="G13" s="81">
        <v>656.5115059780203</v>
      </c>
      <c r="H13" s="81">
        <v>656.5115059780203</v>
      </c>
      <c r="I13" s="81">
        <v>798.08540544214634</v>
      </c>
      <c r="J13" s="81">
        <v>898.28204430151436</v>
      </c>
      <c r="K13" s="81">
        <v>1096.2930340606495</v>
      </c>
      <c r="L13" s="81">
        <v>1117.693769869712</v>
      </c>
      <c r="M13" s="81">
        <v>1228.3732817947839</v>
      </c>
      <c r="N13" s="81">
        <v>1415.2282216286098</v>
      </c>
      <c r="O13" s="81">
        <v>1439.5036252968405</v>
      </c>
      <c r="P13" s="81">
        <v>1442.9316435589981</v>
      </c>
      <c r="Q13" s="81">
        <v>1511.1133825209954</v>
      </c>
      <c r="R13" s="81">
        <v>1625.0330184524973</v>
      </c>
      <c r="S13" s="81">
        <v>1779.1720928929153</v>
      </c>
      <c r="T13" s="81">
        <v>1825.7599455534171</v>
      </c>
      <c r="U13" s="81">
        <v>1870.0013005014548</v>
      </c>
      <c r="V13" s="81">
        <v>2011.9943154897207</v>
      </c>
      <c r="W13" s="81">
        <v>2089.3678132795071</v>
      </c>
      <c r="X13" s="81">
        <v>2125.2987543369622</v>
      </c>
      <c r="Y13" s="316">
        <v>2191.1199833789783</v>
      </c>
    </row>
    <row r="14" spans="1:31" x14ac:dyDescent="0.35">
      <c r="A14" s="331" t="s">
        <v>310</v>
      </c>
      <c r="B14" s="526">
        <f>B15/B13</f>
        <v>4.6836393999999996E-2</v>
      </c>
      <c r="C14" s="526">
        <f t="shared" ref="C14:Y14" si="4">C15/C13</f>
        <v>4.1365417000000002E-2</v>
      </c>
      <c r="D14" s="526">
        <f t="shared" si="4"/>
        <v>3.3503168999999999E-2</v>
      </c>
      <c r="E14" s="526">
        <f t="shared" si="4"/>
        <v>4.4215727000000003E-2</v>
      </c>
      <c r="F14" s="526">
        <f t="shared" si="4"/>
        <v>4.1165242999999997E-2</v>
      </c>
      <c r="G14" s="526">
        <f t="shared" si="4"/>
        <v>1.3395653E-2</v>
      </c>
      <c r="H14" s="526">
        <f t="shared" si="4"/>
        <v>4.5165154999999998E-2</v>
      </c>
      <c r="I14" s="526">
        <f t="shared" si="4"/>
        <v>2.9270401000000001E-2</v>
      </c>
      <c r="J14" s="526">
        <f t="shared" si="4"/>
        <v>4.1334807000000001E-2</v>
      </c>
      <c r="K14" s="526">
        <f t="shared" si="4"/>
        <v>4.5324108000000002E-2</v>
      </c>
      <c r="L14" s="526">
        <f t="shared" si="4"/>
        <v>1.9310155999999998E-2</v>
      </c>
      <c r="M14" s="526">
        <f t="shared" si="4"/>
        <v>9.9523370000000003E-3</v>
      </c>
      <c r="N14" s="526">
        <f t="shared" si="4"/>
        <v>1.5257081999999998E-2</v>
      </c>
      <c r="O14" s="526">
        <f t="shared" si="4"/>
        <v>2.4219850000000001E-2</v>
      </c>
      <c r="P14" s="526">
        <f t="shared" si="4"/>
        <v>2.1810664E-2</v>
      </c>
      <c r="Q14" s="526">
        <f t="shared" si="4"/>
        <v>3.3732876000000002E-2</v>
      </c>
      <c r="R14" s="526">
        <f t="shared" si="4"/>
        <v>1.0312845999999999E-2</v>
      </c>
      <c r="S14" s="526">
        <f t="shared" si="4"/>
        <v>1.9836289999999999E-2</v>
      </c>
      <c r="T14" s="526">
        <f t="shared" si="4"/>
        <v>2.3783495000000002E-2</v>
      </c>
      <c r="U14" s="526">
        <f t="shared" si="4"/>
        <v>1.4994851E-2</v>
      </c>
      <c r="V14" s="526">
        <f t="shared" si="4"/>
        <v>2.0393942000000002E-2</v>
      </c>
      <c r="W14" s="526">
        <f t="shared" si="4"/>
        <v>2.0192682999999999E-2</v>
      </c>
      <c r="X14" s="526">
        <f t="shared" si="4"/>
        <v>1.7430937000000001E-2</v>
      </c>
      <c r="Y14" s="527">
        <f t="shared" si="4"/>
        <v>1.9544131999999999E-2</v>
      </c>
    </row>
    <row r="15" spans="1:31" x14ac:dyDescent="0.35">
      <c r="A15" s="332" t="s">
        <v>324</v>
      </c>
      <c r="B15" s="81">
        <v>4.2326715233285768</v>
      </c>
      <c r="C15" s="81">
        <v>12.207386123361628</v>
      </c>
      <c r="D15" s="81">
        <v>16.151643373240788</v>
      </c>
      <c r="E15" s="81">
        <v>27.121325913765176</v>
      </c>
      <c r="F15" s="81">
        <v>26.328787786794525</v>
      </c>
      <c r="G15" s="81">
        <v>8.7944003245889864</v>
      </c>
      <c r="H15" s="81">
        <v>29.651443926780711</v>
      </c>
      <c r="I15" s="81">
        <v>23.360279849539207</v>
      </c>
      <c r="J15" s="81">
        <v>37.130314932768549</v>
      </c>
      <c r="K15" s="81">
        <v>49.688503875412557</v>
      </c>
      <c r="L15" s="81">
        <v>21.582841056412239</v>
      </c>
      <c r="M15" s="81">
        <v>12.225184862217654</v>
      </c>
      <c r="N15" s="81">
        <v>21.592253026101872</v>
      </c>
      <c r="O15" s="81">
        <v>34.864561879145683</v>
      </c>
      <c r="P15" s="81">
        <v>31.471297252633072</v>
      </c>
      <c r="Q15" s="81">
        <v>50.974200354521308</v>
      </c>
      <c r="R15" s="81">
        <v>16.758715264215763</v>
      </c>
      <c r="S15" s="81">
        <v>35.292173594530809</v>
      </c>
      <c r="T15" s="81">
        <v>43.422952536269968</v>
      </c>
      <c r="U15" s="81">
        <v>28.04039087082554</v>
      </c>
      <c r="V15" s="81">
        <v>41.032495374427072</v>
      </c>
      <c r="W15" s="81">
        <v>42.189941923956276</v>
      </c>
      <c r="X15" s="81">
        <v>37.04594869302607</v>
      </c>
      <c r="Y15" s="316">
        <v>42.823538182996558</v>
      </c>
    </row>
    <row r="16" spans="1:31" x14ac:dyDescent="0.35">
      <c r="A16" s="332" t="s">
        <v>325</v>
      </c>
      <c r="B16" s="83">
        <f>B12/B15</f>
        <v>3.6280029735607058</v>
      </c>
      <c r="C16" s="83">
        <f t="shared" ref="C16:Y16" si="5">C12/C15</f>
        <v>3.1930903281752276</v>
      </c>
      <c r="D16" s="83">
        <f t="shared" si="5"/>
        <v>1.8581237166237539</v>
      </c>
      <c r="E16" s="83">
        <f t="shared" si="5"/>
        <v>0.90500729684535497</v>
      </c>
      <c r="F16" s="83">
        <f t="shared" si="5"/>
        <v>0.24295703660721718</v>
      </c>
      <c r="G16" s="83">
        <f t="shared" si="5"/>
        <v>0.72725542364745743</v>
      </c>
      <c r="H16" s="83">
        <f t="shared" si="5"/>
        <v>8.0314068507985947E-2</v>
      </c>
      <c r="I16" s="83">
        <f t="shared" si="5"/>
        <v>1.5202395778436197</v>
      </c>
      <c r="J16" s="83">
        <f t="shared" si="5"/>
        <v>0.66376262970290512</v>
      </c>
      <c r="K16" s="83">
        <f t="shared" si="5"/>
        <v>0.5842594045984798</v>
      </c>
      <c r="L16" s="83">
        <f t="shared" si="5"/>
        <v>0.92666206213189994</v>
      </c>
      <c r="M16" s="83">
        <f t="shared" si="5"/>
        <v>3.2528182098530714</v>
      </c>
      <c r="N16" s="83">
        <f t="shared" si="5"/>
        <v>1.5806663728680306</v>
      </c>
      <c r="O16" s="83">
        <f t="shared" si="5"/>
        <v>0.24970638001955722</v>
      </c>
      <c r="P16" s="83">
        <f t="shared" si="5"/>
        <v>0.55462676086638685</v>
      </c>
      <c r="Q16" s="83">
        <f t="shared" si="5"/>
        <v>0.53987281237556028</v>
      </c>
      <c r="R16" s="83">
        <f t="shared" si="5"/>
        <v>1.9377339759856971</v>
      </c>
      <c r="S16" s="83">
        <f t="shared" si="5"/>
        <v>0.60962563383332835</v>
      </c>
      <c r="T16" s="83">
        <f t="shared" si="5"/>
        <v>0.40784296621779115</v>
      </c>
      <c r="U16" s="83">
        <f t="shared" si="5"/>
        <v>0.42582839886668677</v>
      </c>
      <c r="V16" s="83">
        <f t="shared" si="5"/>
        <v>0.61136834244918925</v>
      </c>
      <c r="W16" s="83">
        <f t="shared" si="5"/>
        <v>0.13555952025348034</v>
      </c>
      <c r="X16" s="83">
        <f t="shared" si="5"/>
        <v>0.32332632885708107</v>
      </c>
      <c r="Y16" s="315">
        <f t="shared" si="5"/>
        <v>0.3507611984524307</v>
      </c>
    </row>
    <row r="17" spans="1:26" x14ac:dyDescent="0.35">
      <c r="A17" s="332" t="s">
        <v>326</v>
      </c>
      <c r="B17" s="83">
        <f>B15*240</f>
        <v>1015.8411655988584</v>
      </c>
      <c r="C17" s="83">
        <f t="shared" ref="C17:Y17" si="6">C15*240</f>
        <v>2929.7726696067907</v>
      </c>
      <c r="D17" s="83">
        <f t="shared" si="6"/>
        <v>3876.3944095777888</v>
      </c>
      <c r="E17" s="83">
        <f t="shared" si="6"/>
        <v>6509.118219303642</v>
      </c>
      <c r="F17" s="83">
        <f t="shared" si="6"/>
        <v>6318.909068830686</v>
      </c>
      <c r="G17" s="83">
        <f t="shared" si="6"/>
        <v>2110.6560779013566</v>
      </c>
      <c r="H17" s="83">
        <f t="shared" si="6"/>
        <v>7116.3465424273709</v>
      </c>
      <c r="I17" s="83">
        <f t="shared" si="6"/>
        <v>5606.4671638894097</v>
      </c>
      <c r="J17" s="83">
        <f t="shared" si="6"/>
        <v>8911.2755838644516</v>
      </c>
      <c r="K17" s="83">
        <f t="shared" si="6"/>
        <v>11925.240930099013</v>
      </c>
      <c r="L17" s="83">
        <f t="shared" si="6"/>
        <v>5179.8818535389373</v>
      </c>
      <c r="M17" s="83">
        <f t="shared" si="6"/>
        <v>2934.0443669322372</v>
      </c>
      <c r="N17" s="83">
        <f t="shared" si="6"/>
        <v>5182.1407262644498</v>
      </c>
      <c r="O17" s="83">
        <f t="shared" si="6"/>
        <v>8367.4948509949645</v>
      </c>
      <c r="P17" s="83">
        <f t="shared" si="6"/>
        <v>7553.1113406319373</v>
      </c>
      <c r="Q17" s="83">
        <f t="shared" si="6"/>
        <v>12233.808085085115</v>
      </c>
      <c r="R17" s="83">
        <f t="shared" si="6"/>
        <v>4022.091663411783</v>
      </c>
      <c r="S17" s="83">
        <f t="shared" si="6"/>
        <v>8470.1216626873938</v>
      </c>
      <c r="T17" s="83">
        <f t="shared" si="6"/>
        <v>10421.508608704793</v>
      </c>
      <c r="U17" s="83">
        <f t="shared" si="6"/>
        <v>6729.6938089981295</v>
      </c>
      <c r="V17" s="83">
        <f t="shared" si="6"/>
        <v>9847.7988898624972</v>
      </c>
      <c r="W17" s="83">
        <f t="shared" si="6"/>
        <v>10125.586061749505</v>
      </c>
      <c r="X17" s="83">
        <f t="shared" si="6"/>
        <v>8891.027686326257</v>
      </c>
      <c r="Y17" s="315">
        <f t="shared" si="6"/>
        <v>10277.649163919174</v>
      </c>
    </row>
    <row r="18" spans="1:26" x14ac:dyDescent="0.35">
      <c r="A18" s="332" t="s">
        <v>327</v>
      </c>
      <c r="B18" s="81">
        <f>IFERROR((B17-B12)/B12,0)</f>
        <v>65.152095725669113</v>
      </c>
      <c r="C18" s="81">
        <f t="shared" ref="C18:Y18" si="7">IFERROR((C17-C12)/C12,0)</f>
        <v>74.162295874402673</v>
      </c>
      <c r="D18" s="81">
        <f t="shared" si="7"/>
        <v>128.1625513698757</v>
      </c>
      <c r="E18" s="81">
        <f t="shared" si="7"/>
        <v>264.19123197855333</v>
      </c>
      <c r="F18" s="81">
        <f t="shared" si="7"/>
        <v>986.82897318591449</v>
      </c>
      <c r="G18" s="81">
        <f t="shared" si="7"/>
        <v>329.00785170677779</v>
      </c>
      <c r="H18" s="81">
        <f t="shared" si="7"/>
        <v>2987.2684871846063</v>
      </c>
      <c r="I18" s="81">
        <f t="shared" si="7"/>
        <v>156.86985386897206</v>
      </c>
      <c r="J18" s="81">
        <f t="shared" si="7"/>
        <v>360.57504092603421</v>
      </c>
      <c r="K18" s="81">
        <f t="shared" si="7"/>
        <v>409.77644298243689</v>
      </c>
      <c r="L18" s="81">
        <f t="shared" si="7"/>
        <v>257.99409267694688</v>
      </c>
      <c r="M18" s="81">
        <f t="shared" si="7"/>
        <v>72.7821742613894</v>
      </c>
      <c r="N18" s="81">
        <f t="shared" si="7"/>
        <v>150.83469713759615</v>
      </c>
      <c r="O18" s="81">
        <f t="shared" si="7"/>
        <v>960.12882650897029</v>
      </c>
      <c r="P18" s="81">
        <f t="shared" si="7"/>
        <v>431.72344021967871</v>
      </c>
      <c r="Q18" s="81">
        <f t="shared" si="7"/>
        <v>443.54915027846414</v>
      </c>
      <c r="R18" s="81">
        <f t="shared" si="7"/>
        <v>122.85601066726174</v>
      </c>
      <c r="S18" s="81">
        <f t="shared" si="7"/>
        <v>392.68423288056152</v>
      </c>
      <c r="T18" s="81">
        <f t="shared" si="7"/>
        <v>587.46178524466268</v>
      </c>
      <c r="U18" s="81">
        <f t="shared" si="7"/>
        <v>562.60731374127135</v>
      </c>
      <c r="V18" s="81">
        <f t="shared" si="7"/>
        <v>391.56203394264952</v>
      </c>
      <c r="W18" s="81">
        <f t="shared" si="7"/>
        <v>1769.4400218533397</v>
      </c>
      <c r="X18" s="81">
        <f t="shared" si="7"/>
        <v>741.284121581965</v>
      </c>
      <c r="Y18" s="316">
        <f t="shared" si="7"/>
        <v>683.22619451321134</v>
      </c>
    </row>
    <row r="19" spans="1:26" x14ac:dyDescent="0.35">
      <c r="A19" s="692" t="s">
        <v>328</v>
      </c>
      <c r="B19" s="693"/>
      <c r="C19" s="693"/>
      <c r="D19" s="693"/>
      <c r="E19" s="693"/>
      <c r="F19" s="693"/>
      <c r="G19" s="693"/>
      <c r="H19" s="693"/>
      <c r="I19" s="693"/>
      <c r="J19" s="693"/>
      <c r="K19" s="693"/>
      <c r="L19" s="693"/>
      <c r="M19" s="693"/>
      <c r="N19" s="693"/>
      <c r="O19" s="693"/>
      <c r="P19" s="693"/>
      <c r="Q19" s="693"/>
      <c r="R19" s="693"/>
      <c r="S19" s="693"/>
      <c r="T19" s="693"/>
      <c r="U19" s="693"/>
      <c r="V19" s="693"/>
      <c r="W19" s="693"/>
      <c r="X19" s="693"/>
      <c r="Y19" s="694"/>
    </row>
    <row r="20" spans="1:26" x14ac:dyDescent="0.35">
      <c r="A20" s="331" t="s">
        <v>305</v>
      </c>
      <c r="B20" s="83">
        <v>18.698869352898399</v>
      </c>
      <c r="C20" s="83">
        <v>22.192214417113501</v>
      </c>
      <c r="D20" s="83">
        <v>8.1866250684927397</v>
      </c>
      <c r="E20" s="83">
        <v>21.083611974958</v>
      </c>
      <c r="F20" s="83">
        <v>24.2889973233437</v>
      </c>
      <c r="G20" s="83">
        <v>1.9044669215198999</v>
      </c>
      <c r="H20" s="83">
        <v>24.909338927958899</v>
      </c>
      <c r="I20" s="83">
        <v>6.9914890711789504</v>
      </c>
      <c r="J20" s="83">
        <v>2.6671153123964602</v>
      </c>
      <c r="K20" s="83">
        <v>28.904307027386601</v>
      </c>
      <c r="L20" s="83">
        <v>10.5909133560569</v>
      </c>
      <c r="M20" s="83">
        <v>33.1442912727749</v>
      </c>
      <c r="N20" s="83">
        <v>12.489164536108101</v>
      </c>
      <c r="O20" s="83">
        <v>4.00455667426173</v>
      </c>
      <c r="P20" s="83">
        <v>28.0535540869984</v>
      </c>
      <c r="Q20" s="83">
        <v>18.0462522433236</v>
      </c>
      <c r="R20" s="83">
        <v>5.0035676286359303</v>
      </c>
      <c r="S20" s="83">
        <v>20.302253314562002</v>
      </c>
      <c r="T20" s="83">
        <v>1.40992936572395</v>
      </c>
      <c r="U20" s="83">
        <v>37.282136485229998</v>
      </c>
      <c r="V20" s="83">
        <v>10.6099792456006</v>
      </c>
      <c r="W20" s="83">
        <v>27.1634136585132</v>
      </c>
      <c r="X20" s="83">
        <v>12.7801541196658</v>
      </c>
      <c r="Y20" s="315">
        <v>21.3227888682902</v>
      </c>
      <c r="Z20" s="45" t="s">
        <v>329</v>
      </c>
    </row>
    <row r="21" spans="1:26" x14ac:dyDescent="0.35">
      <c r="A21" s="331" t="s">
        <v>330</v>
      </c>
      <c r="B21" s="81">
        <v>76.355196128381905</v>
      </c>
      <c r="C21" s="81">
        <v>278.65667789144993</v>
      </c>
      <c r="D21" s="81">
        <v>441.77551081579691</v>
      </c>
      <c r="E21" s="81">
        <v>788.23563342245984</v>
      </c>
      <c r="F21" s="81">
        <v>1023.9245944978638</v>
      </c>
      <c r="G21" s="81">
        <v>1143.3225535022648</v>
      </c>
      <c r="H21" s="81">
        <v>1428.5795452866178</v>
      </c>
      <c r="I21" s="81">
        <v>1433.9824605378949</v>
      </c>
      <c r="J21" s="81">
        <v>1496.7931742127007</v>
      </c>
      <c r="K21" s="81">
        <v>2039.6399011331637</v>
      </c>
      <c r="L21" s="81">
        <v>2431.9664307827379</v>
      </c>
      <c r="M21" s="81">
        <v>2919.8737090918867</v>
      </c>
      <c r="N21" s="81">
        <v>2919.8737090918867</v>
      </c>
      <c r="O21" s="81">
        <v>3042.1095262720255</v>
      </c>
      <c r="P21" s="81">
        <v>3331.3497739658264</v>
      </c>
      <c r="Q21" s="81">
        <v>3481.9115613524755</v>
      </c>
      <c r="R21" s="81">
        <v>3541.1233152923851</v>
      </c>
      <c r="S21" s="81">
        <v>3545.3889569779167</v>
      </c>
      <c r="T21" s="81">
        <v>3545.3889569779167</v>
      </c>
      <c r="U21" s="81">
        <v>3953.9215789813916</v>
      </c>
      <c r="V21" s="81">
        <v>4207.8107759115492</v>
      </c>
      <c r="W21" s="81">
        <v>4427.6178906693158</v>
      </c>
      <c r="X21" s="81">
        <v>4474.5700715766552</v>
      </c>
      <c r="Y21" s="316">
        <v>4637.622255901103</v>
      </c>
      <c r="Z21" s="45"/>
    </row>
    <row r="22" spans="1:26" x14ac:dyDescent="0.35">
      <c r="A22" s="331" t="s">
        <v>310</v>
      </c>
      <c r="B22" s="528">
        <f>B23/B21</f>
        <v>2.83455779784514E-2</v>
      </c>
      <c r="C22" s="528">
        <f t="shared" ref="C22:Y22" si="8">C23/C21</f>
        <v>3.6635853150282999E-3</v>
      </c>
      <c r="D22" s="528">
        <f t="shared" si="8"/>
        <v>2.1363332107068199E-3</v>
      </c>
      <c r="E22" s="528">
        <f t="shared" si="8"/>
        <v>1.8730193722443201E-3</v>
      </c>
      <c r="F22" s="528">
        <f t="shared" si="8"/>
        <v>2.8310128272394999E-3</v>
      </c>
      <c r="G22" s="528">
        <f t="shared" si="8"/>
        <v>1.6330203312141299E-3</v>
      </c>
      <c r="H22" s="528">
        <f t="shared" si="8"/>
        <v>2.7376182765157298E-3</v>
      </c>
      <c r="I22" s="528">
        <f t="shared" si="8"/>
        <v>1.8539523941754601E-3</v>
      </c>
      <c r="J22" s="528">
        <f t="shared" si="8"/>
        <v>1.7817822246986E-3</v>
      </c>
      <c r="K22" s="528">
        <f t="shared" si="8"/>
        <v>6.6599126309539703E-4</v>
      </c>
      <c r="L22" s="528">
        <f t="shared" si="8"/>
        <v>3.2430395029095299E-4</v>
      </c>
      <c r="M22" s="528">
        <f t="shared" si="8"/>
        <v>2.7620556045298699E-4</v>
      </c>
      <c r="N22" s="528">
        <f t="shared" si="8"/>
        <v>7.3165438062495201E-4</v>
      </c>
      <c r="O22" s="528">
        <f t="shared" si="8"/>
        <v>1.75390908906475E-3</v>
      </c>
      <c r="P22" s="528">
        <f t="shared" si="8"/>
        <v>1.5871964868499401E-3</v>
      </c>
      <c r="Q22" s="528">
        <f t="shared" si="8"/>
        <v>1.5780285080013699E-3</v>
      </c>
      <c r="R22" s="528">
        <f t="shared" si="8"/>
        <v>1.1520269244105E-3</v>
      </c>
      <c r="S22" s="528">
        <f t="shared" si="8"/>
        <v>1.7025374212490299E-4</v>
      </c>
      <c r="T22" s="528">
        <f t="shared" si="8"/>
        <v>1.9354270434976999E-4</v>
      </c>
      <c r="U22" s="528">
        <f t="shared" si="8"/>
        <v>1.5892487218017499E-4</v>
      </c>
      <c r="V22" s="528">
        <f t="shared" si="8"/>
        <v>3.5246099633264499E-4</v>
      </c>
      <c r="W22" s="528">
        <f t="shared" si="8"/>
        <v>2.9272882689792201E-4</v>
      </c>
      <c r="X22" s="528">
        <f t="shared" si="8"/>
        <v>8.5693689479657905E-4</v>
      </c>
      <c r="Y22" s="529">
        <f t="shared" si="8"/>
        <v>3.77697356875336E-4</v>
      </c>
      <c r="Z22" s="45"/>
    </row>
    <row r="23" spans="1:26" x14ac:dyDescent="0.35">
      <c r="A23" s="332" t="s">
        <v>331</v>
      </c>
      <c r="B23" s="81">
        <v>2.1643321659169996</v>
      </c>
      <c r="C23" s="81">
        <v>1.0208825130576871</v>
      </c>
      <c r="D23" s="81">
        <v>0.94377969543275686</v>
      </c>
      <c r="E23" s="81">
        <v>1.4763806112935398</v>
      </c>
      <c r="F23" s="81">
        <v>2.8987436611494561</v>
      </c>
      <c r="G23" s="81">
        <v>1.8670689750048532</v>
      </c>
      <c r="H23" s="81">
        <v>3.9109054726331753</v>
      </c>
      <c r="I23" s="81">
        <v>2.6585352159198474</v>
      </c>
      <c r="J23" s="81">
        <v>2.666959471862385</v>
      </c>
      <c r="K23" s="81">
        <v>1.3583823540154465</v>
      </c>
      <c r="L23" s="81">
        <v>0.78869632047783134</v>
      </c>
      <c r="M23" s="81">
        <v>0.80648535427166645</v>
      </c>
      <c r="N23" s="81">
        <v>2.1363383901287056</v>
      </c>
      <c r="O23" s="81">
        <v>5.3355835480589668</v>
      </c>
      <c r="P23" s="81">
        <v>5.2875066577069019</v>
      </c>
      <c r="Q23" s="81">
        <v>5.4945557061537675</v>
      </c>
      <c r="R23" s="81">
        <v>4.0794694018745998</v>
      </c>
      <c r="S23" s="81">
        <v>0.60361573721379702</v>
      </c>
      <c r="T23" s="81">
        <v>0.68618416670531635</v>
      </c>
      <c r="U23" s="81">
        <v>0.62837648155005332</v>
      </c>
      <c r="V23" s="81">
        <v>1.4830891784570246</v>
      </c>
      <c r="W23" s="81">
        <v>1.2960913910878806</v>
      </c>
      <c r="X23" s="81">
        <v>3.8344241826866052</v>
      </c>
      <c r="Y23" s="316">
        <v>1.7516176682400797</v>
      </c>
      <c r="Z23" s="45"/>
    </row>
    <row r="24" spans="1:26" x14ac:dyDescent="0.35">
      <c r="A24" s="332" t="s">
        <v>332</v>
      </c>
      <c r="B24" s="83">
        <f>B20/B23</f>
        <v>8.6395561861346408</v>
      </c>
      <c r="C24" s="83">
        <f t="shared" ref="C24:Y24" si="9">C20/C23</f>
        <v>21.738264818196061</v>
      </c>
      <c r="D24" s="83">
        <f t="shared" si="9"/>
        <v>8.6742966691383181</v>
      </c>
      <c r="E24" s="83">
        <f t="shared" si="9"/>
        <v>14.280607462384287</v>
      </c>
      <c r="F24" s="83">
        <f t="shared" si="9"/>
        <v>8.379146334626995</v>
      </c>
      <c r="G24" s="83">
        <f t="shared" si="9"/>
        <v>1.0200302972282798</v>
      </c>
      <c r="H24" s="83">
        <f t="shared" si="9"/>
        <v>6.36919994672939</v>
      </c>
      <c r="I24" s="83">
        <f t="shared" si="9"/>
        <v>2.6298275190460134</v>
      </c>
      <c r="J24" s="83">
        <f t="shared" si="9"/>
        <v>1.0000584337841347</v>
      </c>
      <c r="K24" s="83">
        <f t="shared" si="9"/>
        <v>21.278476521683324</v>
      </c>
      <c r="L24" s="83">
        <f t="shared" si="9"/>
        <v>13.428379315425738</v>
      </c>
      <c r="M24" s="83">
        <f t="shared" si="9"/>
        <v>41.097201700218562</v>
      </c>
      <c r="N24" s="83">
        <f t="shared" si="9"/>
        <v>5.8460609956813441</v>
      </c>
      <c r="O24" s="83">
        <f t="shared" si="9"/>
        <v>0.75053771310891548</v>
      </c>
      <c r="P24" s="83">
        <f t="shared" si="9"/>
        <v>5.305630026225769</v>
      </c>
      <c r="Q24" s="83">
        <f t="shared" si="9"/>
        <v>3.2843878938404867</v>
      </c>
      <c r="R24" s="83">
        <f t="shared" si="9"/>
        <v>1.226524122557872</v>
      </c>
      <c r="S24" s="83">
        <f t="shared" si="9"/>
        <v>33.634400269738272</v>
      </c>
      <c r="T24" s="83">
        <f t="shared" si="9"/>
        <v>2.0547389959370017</v>
      </c>
      <c r="U24" s="83">
        <f t="shared" si="9"/>
        <v>59.330890922690095</v>
      </c>
      <c r="V24" s="83">
        <f t="shared" si="9"/>
        <v>7.1539725322782033</v>
      </c>
      <c r="W24" s="83">
        <f t="shared" si="9"/>
        <v>20.957946210655297</v>
      </c>
      <c r="X24" s="83">
        <f t="shared" si="9"/>
        <v>3.3330047774503999</v>
      </c>
      <c r="Y24" s="315">
        <f t="shared" si="9"/>
        <v>12.173198098483477</v>
      </c>
      <c r="Z24" s="45"/>
    </row>
    <row r="25" spans="1:26" x14ac:dyDescent="0.35">
      <c r="A25" s="332" t="s">
        <v>333</v>
      </c>
      <c r="B25" s="83">
        <f>B23*240</f>
        <v>519.43971982007986</v>
      </c>
      <c r="C25" s="83">
        <f t="shared" ref="C25:Y25" si="10">C23*240</f>
        <v>245.01180313384489</v>
      </c>
      <c r="D25" s="83">
        <f t="shared" si="10"/>
        <v>226.50712690386166</v>
      </c>
      <c r="E25" s="83">
        <f t="shared" si="10"/>
        <v>354.33134671044957</v>
      </c>
      <c r="F25" s="83">
        <f t="shared" si="10"/>
        <v>695.69847867586952</v>
      </c>
      <c r="G25" s="83">
        <f t="shared" si="10"/>
        <v>448.0965540011648</v>
      </c>
      <c r="H25" s="83">
        <f t="shared" si="10"/>
        <v>938.61731343196209</v>
      </c>
      <c r="I25" s="83">
        <f t="shared" si="10"/>
        <v>638.04845182076338</v>
      </c>
      <c r="J25" s="83">
        <f t="shared" si="10"/>
        <v>640.07027324697242</v>
      </c>
      <c r="K25" s="83">
        <f t="shared" si="10"/>
        <v>326.01176496370715</v>
      </c>
      <c r="L25" s="83">
        <f t="shared" si="10"/>
        <v>189.28711691467953</v>
      </c>
      <c r="M25" s="83">
        <f t="shared" si="10"/>
        <v>193.55648502519995</v>
      </c>
      <c r="N25" s="83">
        <f t="shared" si="10"/>
        <v>512.72121363088934</v>
      </c>
      <c r="O25" s="83">
        <f t="shared" si="10"/>
        <v>1280.5400515341521</v>
      </c>
      <c r="P25" s="83">
        <f t="shared" si="10"/>
        <v>1269.0015978496565</v>
      </c>
      <c r="Q25" s="83">
        <f t="shared" si="10"/>
        <v>1318.6933694769043</v>
      </c>
      <c r="R25" s="83">
        <f t="shared" si="10"/>
        <v>979.072656449904</v>
      </c>
      <c r="S25" s="83">
        <f t="shared" si="10"/>
        <v>144.86777693131128</v>
      </c>
      <c r="T25" s="83">
        <f t="shared" si="10"/>
        <v>164.68420000927591</v>
      </c>
      <c r="U25" s="83">
        <f t="shared" si="10"/>
        <v>150.81035557201281</v>
      </c>
      <c r="V25" s="83">
        <f t="shared" si="10"/>
        <v>355.9414028296859</v>
      </c>
      <c r="W25" s="83">
        <f t="shared" si="10"/>
        <v>311.06193386109135</v>
      </c>
      <c r="X25" s="83">
        <f t="shared" si="10"/>
        <v>920.26180384478528</v>
      </c>
      <c r="Y25" s="315">
        <f t="shared" si="10"/>
        <v>420.38824037761913</v>
      </c>
      <c r="Z25" s="45"/>
    </row>
    <row r="26" spans="1:26" ht="15" thickBot="1" x14ac:dyDescent="0.4">
      <c r="A26" s="333" t="s">
        <v>334</v>
      </c>
      <c r="B26" s="317">
        <f>IFERROR((B25-B20)/B20,0)</f>
        <v>26.779204721785206</v>
      </c>
      <c r="C26" s="317">
        <f t="shared" ref="C26:Y26" si="11">IFERROR((C25-C20)/C20,0)</f>
        <v>10.040439612231951</v>
      </c>
      <c r="D26" s="317">
        <f t="shared" si="11"/>
        <v>26.667949247560262</v>
      </c>
      <c r="E26" s="317">
        <f t="shared" si="11"/>
        <v>15.806007771880152</v>
      </c>
      <c r="F26" s="317">
        <f t="shared" si="11"/>
        <v>27.642535935694916</v>
      </c>
      <c r="G26" s="317">
        <f t="shared" si="11"/>
        <v>234.28712887465218</v>
      </c>
      <c r="H26" s="317">
        <f t="shared" si="11"/>
        <v>36.681341770914415</v>
      </c>
      <c r="I26" s="317">
        <f t="shared" si="11"/>
        <v>90.26073792362682</v>
      </c>
      <c r="J26" s="317">
        <f t="shared" si="11"/>
        <v>238.98597671124145</v>
      </c>
      <c r="K26" s="317">
        <f t="shared" si="11"/>
        <v>10.279002975397875</v>
      </c>
      <c r="L26" s="317">
        <f t="shared" si="11"/>
        <v>16.872596116219476</v>
      </c>
      <c r="M26" s="317">
        <f t="shared" si="11"/>
        <v>4.8398136629999229</v>
      </c>
      <c r="N26" s="317">
        <f t="shared" si="11"/>
        <v>40.053283600238693</v>
      </c>
      <c r="O26" s="317">
        <f t="shared" si="11"/>
        <v>318.77074010826163</v>
      </c>
      <c r="P26" s="317">
        <f t="shared" si="11"/>
        <v>44.23496716010694</v>
      </c>
      <c r="Q26" s="317">
        <f t="shared" si="11"/>
        <v>72.072976687709144</v>
      </c>
      <c r="R26" s="317">
        <f t="shared" si="11"/>
        <v>194.67491220595699</v>
      </c>
      <c r="S26" s="317">
        <f t="shared" si="11"/>
        <v>6.1355516398469607</v>
      </c>
      <c r="T26" s="317">
        <f t="shared" si="11"/>
        <v>115.80315625223983</v>
      </c>
      <c r="U26" s="317">
        <f t="shared" si="11"/>
        <v>3.0451103340539269</v>
      </c>
      <c r="V26" s="317">
        <f t="shared" si="11"/>
        <v>32.547794448068885</v>
      </c>
      <c r="W26" s="317">
        <f t="shared" si="11"/>
        <v>10.451503767958943</v>
      </c>
      <c r="X26" s="317">
        <f t="shared" si="11"/>
        <v>71.007097506649629</v>
      </c>
      <c r="Y26" s="318">
        <f t="shared" si="11"/>
        <v>18.715443555453099</v>
      </c>
      <c r="Z26" s="45"/>
    </row>
    <row r="28" spans="1:26" ht="15" thickBot="1" x14ac:dyDescent="0.4"/>
    <row r="29" spans="1:26" ht="15" thickBot="1" x14ac:dyDescent="0.4">
      <c r="A29" s="695" t="s">
        <v>160</v>
      </c>
      <c r="B29" s="696"/>
      <c r="C29" s="696"/>
      <c r="D29" s="697"/>
    </row>
    <row r="30" spans="1:26" ht="15" thickBot="1" x14ac:dyDescent="0.4">
      <c r="A30" s="319" t="s">
        <v>162</v>
      </c>
      <c r="B30" s="83">
        <v>125</v>
      </c>
      <c r="C30" s="45"/>
      <c r="D30" s="283"/>
    </row>
    <row r="31" spans="1:26" ht="15" thickBot="1" x14ac:dyDescent="0.4">
      <c r="A31" s="320"/>
      <c r="B31" s="538" t="s">
        <v>163</v>
      </c>
      <c r="C31" s="539" t="s">
        <v>164</v>
      </c>
      <c r="D31" s="539" t="s">
        <v>165</v>
      </c>
    </row>
    <row r="32" spans="1:26" x14ac:dyDescent="0.35">
      <c r="A32" s="321" t="s">
        <v>166</v>
      </c>
      <c r="B32" s="83">
        <f>AVERAGE(B8:Y8)</f>
        <v>7.9394559006364327</v>
      </c>
      <c r="C32" s="83">
        <f>AVERAGE(B16:Y16)</f>
        <v>1.0545588091309543</v>
      </c>
      <c r="D32" s="315">
        <f>AVERAGE(B24:Y24)</f>
        <v>12.649430740135118</v>
      </c>
    </row>
    <row r="33" spans="1:4" x14ac:dyDescent="0.35">
      <c r="A33" s="321" t="s">
        <v>167</v>
      </c>
      <c r="B33" s="78">
        <v>2762</v>
      </c>
      <c r="C33" s="81">
        <v>2191.1199833789783</v>
      </c>
      <c r="D33" s="316">
        <v>4637.622255901103</v>
      </c>
    </row>
    <row r="34" spans="1:4" x14ac:dyDescent="0.35">
      <c r="A34" s="322" t="s">
        <v>335</v>
      </c>
      <c r="B34" s="45">
        <v>0.6</v>
      </c>
      <c r="C34" s="45">
        <v>0.25</v>
      </c>
      <c r="D34" s="283">
        <v>0.15</v>
      </c>
    </row>
    <row r="35" spans="1:4" x14ac:dyDescent="0.35">
      <c r="A35" s="320" t="s">
        <v>169</v>
      </c>
      <c r="B35" s="83">
        <f>B34*$B$30</f>
        <v>75</v>
      </c>
      <c r="C35" s="83">
        <f>C34*$B$30</f>
        <v>31.25</v>
      </c>
      <c r="D35" s="315">
        <f>D34*$B$30</f>
        <v>18.75</v>
      </c>
    </row>
    <row r="36" spans="1:4" x14ac:dyDescent="0.35">
      <c r="A36" s="320" t="s">
        <v>170</v>
      </c>
      <c r="B36" s="81">
        <f>B35/B32</f>
        <v>9.4464911624470318</v>
      </c>
      <c r="C36" s="81">
        <f>C35/C32</f>
        <v>29.633245419240907</v>
      </c>
      <c r="D36" s="316">
        <f>D35/D32</f>
        <v>1.4822801424975205</v>
      </c>
    </row>
    <row r="37" spans="1:4" x14ac:dyDescent="0.35">
      <c r="A37" s="320" t="s">
        <v>171</v>
      </c>
      <c r="B37" s="83">
        <f>B36*240</f>
        <v>2267.1578789872874</v>
      </c>
      <c r="C37" s="83">
        <f>C36*240</f>
        <v>7111.978900617818</v>
      </c>
      <c r="D37" s="315">
        <f>D36*240</f>
        <v>355.74723419940494</v>
      </c>
    </row>
    <row r="38" spans="1:4" ht="15" thickBot="1" x14ac:dyDescent="0.4">
      <c r="A38" s="323" t="s">
        <v>173</v>
      </c>
      <c r="B38" s="317">
        <f>(B37-B35)/B35</f>
        <v>29.228771719830497</v>
      </c>
      <c r="C38" s="317">
        <f>(C37-C35)/C35</f>
        <v>226.58332481977018</v>
      </c>
      <c r="D38" s="318">
        <f>(D37-D35)/D35</f>
        <v>17.973185823968265</v>
      </c>
    </row>
  </sheetData>
  <mergeCells count="5">
    <mergeCell ref="A3:Y3"/>
    <mergeCell ref="A11:Y11"/>
    <mergeCell ref="A19:Y19"/>
    <mergeCell ref="A29:D29"/>
    <mergeCell ref="AC3:AE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66C59-33F4-4BFB-A9BB-90A3D605957F}">
  <sheetPr codeName="Sheet5"/>
  <dimension ref="A1:U126"/>
  <sheetViews>
    <sheetView zoomScaleNormal="100" workbookViewId="0">
      <selection activeCell="B23" sqref="B23"/>
    </sheetView>
  </sheetViews>
  <sheetFormatPr defaultRowHeight="15" customHeight="1" x14ac:dyDescent="0.35"/>
  <cols>
    <col min="1" max="1" width="52.453125" bestFit="1" customWidth="1"/>
    <col min="2" max="2" width="42.26953125" customWidth="1"/>
    <col min="3" max="3" width="30.7265625" bestFit="1" customWidth="1"/>
    <col min="4" max="4" width="44.26953125" bestFit="1" customWidth="1"/>
    <col min="5" max="5" width="17.453125" customWidth="1"/>
    <col min="6" max="6" width="17.453125" bestFit="1" customWidth="1"/>
    <col min="7" max="7" width="39.7265625" bestFit="1" customWidth="1"/>
    <col min="8" max="8" width="43.7265625" bestFit="1" customWidth="1"/>
    <col min="9" max="9" width="23.54296875" bestFit="1" customWidth="1"/>
    <col min="10" max="10" width="33.453125" bestFit="1" customWidth="1"/>
    <col min="11" max="11" width="20.453125" bestFit="1" customWidth="1"/>
    <col min="12" max="12" width="14.1796875" bestFit="1" customWidth="1"/>
    <col min="13" max="13" width="17.54296875" bestFit="1" customWidth="1"/>
    <col min="14" max="14" width="18.7265625" bestFit="1" customWidth="1"/>
    <col min="15" max="15" width="23.453125" bestFit="1" customWidth="1"/>
    <col min="16" max="16" width="14.453125" bestFit="1" customWidth="1"/>
    <col min="17" max="21" width="13.7265625" bestFit="1" customWidth="1"/>
  </cols>
  <sheetData>
    <row r="1" spans="1:10" ht="15" customHeight="1" x14ac:dyDescent="0.35">
      <c r="A1" s="108" t="s">
        <v>336</v>
      </c>
      <c r="H1" s="109"/>
    </row>
    <row r="2" spans="1:10" ht="15" customHeight="1" x14ac:dyDescent="0.35">
      <c r="A2" s="109" t="s">
        <v>337</v>
      </c>
      <c r="J2" s="68"/>
    </row>
    <row r="3" spans="1:10" ht="15" customHeight="1" x14ac:dyDescent="0.35">
      <c r="A3" s="109" t="s">
        <v>338</v>
      </c>
    </row>
    <row r="4" spans="1:10" ht="15" customHeight="1" x14ac:dyDescent="0.35">
      <c r="A4" s="109" t="s">
        <v>339</v>
      </c>
      <c r="B4" s="624">
        <v>150000</v>
      </c>
    </row>
    <row r="5" spans="1:10" ht="15" customHeight="1" x14ac:dyDescent="0.35">
      <c r="A5" s="109" t="s">
        <v>340</v>
      </c>
      <c r="B5" s="625"/>
    </row>
    <row r="6" spans="1:10" ht="15" customHeight="1" x14ac:dyDescent="0.35">
      <c r="A6" s="109" t="s">
        <v>341</v>
      </c>
      <c r="B6" s="624"/>
    </row>
    <row r="7" spans="1:10" ht="15" customHeight="1" x14ac:dyDescent="0.35">
      <c r="A7" s="108" t="s">
        <v>342</v>
      </c>
      <c r="J7" s="68"/>
    </row>
    <row r="8" spans="1:10" ht="15" customHeight="1" x14ac:dyDescent="0.35">
      <c r="A8" s="109" t="s">
        <v>343</v>
      </c>
      <c r="B8" s="110">
        <v>0.05</v>
      </c>
      <c r="J8" s="68"/>
    </row>
    <row r="9" spans="1:10" ht="15" customHeight="1" x14ac:dyDescent="0.35">
      <c r="A9" s="109" t="s">
        <v>344</v>
      </c>
      <c r="B9" s="110">
        <v>0.03</v>
      </c>
      <c r="J9" s="68"/>
    </row>
    <row r="10" spans="1:10" ht="15" customHeight="1" x14ac:dyDescent="0.35">
      <c r="A10" s="109" t="s">
        <v>345</v>
      </c>
      <c r="B10" s="110">
        <v>0.03</v>
      </c>
      <c r="J10" s="68"/>
    </row>
    <row r="11" spans="1:10" ht="15" customHeight="1" x14ac:dyDescent="0.35">
      <c r="A11" s="109" t="s">
        <v>346</v>
      </c>
      <c r="B11" s="110">
        <v>7.0000000000000007E-2</v>
      </c>
      <c r="J11" s="68"/>
    </row>
    <row r="12" spans="1:10" ht="15" customHeight="1" x14ac:dyDescent="0.35">
      <c r="A12" s="109" t="s">
        <v>347</v>
      </c>
      <c r="B12" s="111">
        <f>VLOOKUP(B14,A56:E68,5,)</f>
        <v>1.5</v>
      </c>
    </row>
    <row r="13" spans="1:10" ht="15" customHeight="1" thickBot="1" x14ac:dyDescent="0.4">
      <c r="A13" s="108" t="s">
        <v>348</v>
      </c>
    </row>
    <row r="14" spans="1:10" ht="15" customHeight="1" x14ac:dyDescent="0.35">
      <c r="A14" t="s">
        <v>349</v>
      </c>
      <c r="B14" s="112" t="s">
        <v>112</v>
      </c>
    </row>
    <row r="15" spans="1:10" ht="15" customHeight="1" thickBot="1" x14ac:dyDescent="0.4">
      <c r="A15" t="s">
        <v>350</v>
      </c>
      <c r="B15" s="113">
        <v>1200</v>
      </c>
    </row>
    <row r="16" spans="1:10" ht="15" customHeight="1" x14ac:dyDescent="0.35">
      <c r="J16" s="68"/>
    </row>
    <row r="17" spans="1:10" ht="15" customHeight="1" thickBot="1" x14ac:dyDescent="0.4">
      <c r="A17" s="108" t="s">
        <v>351</v>
      </c>
    </row>
    <row r="18" spans="1:10" ht="15" customHeight="1" thickBot="1" x14ac:dyDescent="0.4">
      <c r="A18" t="s">
        <v>352</v>
      </c>
      <c r="B18" s="114">
        <f>VLOOKUP(B14,A56:D68,2,FALSE)*B15</f>
        <v>8112</v>
      </c>
    </row>
    <row r="19" spans="1:10" ht="15" customHeight="1" x14ac:dyDescent="0.35">
      <c r="A19" s="108" t="s">
        <v>353</v>
      </c>
    </row>
    <row r="20" spans="1:10" ht="15" customHeight="1" x14ac:dyDescent="0.35">
      <c r="A20" s="94" t="s">
        <v>354</v>
      </c>
      <c r="B20" s="82">
        <f>SUM(D38:G38)</f>
        <v>2170599.33384</v>
      </c>
      <c r="J20" s="68"/>
    </row>
    <row r="21" spans="1:10" ht="15" customHeight="1" thickBot="1" x14ac:dyDescent="0.4">
      <c r="A21" s="94" t="s">
        <v>355</v>
      </c>
      <c r="B21" s="82">
        <f>SUM(D36:G36)</f>
        <v>1216253.7596</v>
      </c>
      <c r="J21" s="68"/>
    </row>
    <row r="22" spans="1:10" ht="15" customHeight="1" x14ac:dyDescent="0.35">
      <c r="A22" s="94" t="s">
        <v>356</v>
      </c>
      <c r="B22" s="261">
        <f>B20-B21</f>
        <v>954345.57423999999</v>
      </c>
      <c r="J22" s="68"/>
    </row>
    <row r="23" spans="1:10" ht="15" customHeight="1" x14ac:dyDescent="0.35">
      <c r="A23" s="94" t="s">
        <v>357</v>
      </c>
      <c r="B23" s="126">
        <f>SUM(D27:D31)</f>
        <v>161244</v>
      </c>
      <c r="C23" s="50" t="s">
        <v>358</v>
      </c>
      <c r="J23" s="68"/>
    </row>
    <row r="24" spans="1:10" ht="15" customHeight="1" x14ac:dyDescent="0.35">
      <c r="F24" s="94" t="s">
        <v>359</v>
      </c>
      <c r="G24" s="115" t="s">
        <v>360</v>
      </c>
    </row>
    <row r="25" spans="1:10" ht="15" customHeight="1" x14ac:dyDescent="0.35">
      <c r="A25" s="108" t="s">
        <v>361</v>
      </c>
      <c r="J25" s="68"/>
    </row>
    <row r="26" spans="1:10" ht="15" customHeight="1" x14ac:dyDescent="0.35">
      <c r="A26" s="116" t="s">
        <v>362</v>
      </c>
      <c r="B26" s="116" t="s">
        <v>363</v>
      </c>
      <c r="C26" s="116" t="s">
        <v>364</v>
      </c>
      <c r="D26" s="116" t="s">
        <v>365</v>
      </c>
      <c r="E26" s="116" t="s">
        <v>366</v>
      </c>
      <c r="F26" s="116" t="s">
        <v>367</v>
      </c>
      <c r="G26" s="116" t="s">
        <v>368</v>
      </c>
    </row>
    <row r="27" spans="1:10" ht="15" customHeight="1" x14ac:dyDescent="0.35">
      <c r="A27" s="701" t="s">
        <v>369</v>
      </c>
      <c r="B27" s="41" t="s">
        <v>74</v>
      </c>
      <c r="C27" s="117">
        <f>B18</f>
        <v>8112</v>
      </c>
      <c r="D27" s="118">
        <f>C27*12</f>
        <v>97344</v>
      </c>
      <c r="E27" s="118">
        <f t="shared" ref="E27:G28" si="0">D27</f>
        <v>97344</v>
      </c>
      <c r="F27" s="118">
        <f t="shared" si="0"/>
        <v>97344</v>
      </c>
      <c r="G27" s="118">
        <f t="shared" si="0"/>
        <v>97344</v>
      </c>
    </row>
    <row r="28" spans="1:10" ht="15" customHeight="1" x14ac:dyDescent="0.35">
      <c r="A28" s="701"/>
      <c r="B28" s="41" t="s">
        <v>80</v>
      </c>
      <c r="C28" s="117">
        <v>200</v>
      </c>
      <c r="D28" s="118">
        <f t="shared" ref="D28:D35" si="1">C28*12</f>
        <v>2400</v>
      </c>
      <c r="E28" s="118">
        <f t="shared" si="0"/>
        <v>2400</v>
      </c>
      <c r="F28" s="118">
        <f t="shared" si="0"/>
        <v>2400</v>
      </c>
      <c r="G28" s="118">
        <f t="shared" si="0"/>
        <v>2400</v>
      </c>
    </row>
    <row r="29" spans="1:10" ht="15" customHeight="1" x14ac:dyDescent="0.35">
      <c r="A29" s="701"/>
      <c r="B29" s="41" t="s">
        <v>370</v>
      </c>
      <c r="C29" s="117"/>
      <c r="D29" s="119">
        <v>50000</v>
      </c>
      <c r="E29" s="118"/>
      <c r="F29" s="118"/>
      <c r="G29" s="118"/>
    </row>
    <row r="30" spans="1:10" ht="15" customHeight="1" x14ac:dyDescent="0.35">
      <c r="A30" s="701"/>
      <c r="B30" s="41" t="s">
        <v>371</v>
      </c>
      <c r="C30" s="118">
        <v>125</v>
      </c>
      <c r="D30" s="118">
        <f t="shared" si="1"/>
        <v>1500</v>
      </c>
      <c r="E30" s="118">
        <f>D30</f>
        <v>1500</v>
      </c>
      <c r="F30" s="118">
        <f>E30</f>
        <v>1500</v>
      </c>
      <c r="G30" s="118">
        <f>F30</f>
        <v>1500</v>
      </c>
    </row>
    <row r="31" spans="1:10" ht="15" customHeight="1" x14ac:dyDescent="0.35">
      <c r="A31" s="701"/>
      <c r="B31" s="41" t="s">
        <v>372</v>
      </c>
      <c r="C31" s="117"/>
      <c r="D31" s="119">
        <v>10000</v>
      </c>
      <c r="E31" s="118"/>
      <c r="F31" s="118"/>
      <c r="G31" s="118"/>
    </row>
    <row r="32" spans="1:10" ht="15" customHeight="1" x14ac:dyDescent="0.35">
      <c r="A32" s="702" t="s">
        <v>373</v>
      </c>
      <c r="B32" s="41" t="s">
        <v>374</v>
      </c>
      <c r="C32" s="118">
        <f>D51/12</f>
        <v>2566.6666666666665</v>
      </c>
      <c r="D32" s="118">
        <f t="shared" si="1"/>
        <v>30800</v>
      </c>
      <c r="E32" s="118">
        <f>E51</f>
        <v>31724</v>
      </c>
      <c r="F32" s="118">
        <f>F51</f>
        <v>32675.719999999998</v>
      </c>
      <c r="G32" s="118">
        <f>G51</f>
        <v>33655.991600000001</v>
      </c>
    </row>
    <row r="33" spans="1:12" ht="15" customHeight="1" x14ac:dyDescent="0.35">
      <c r="A33" s="703"/>
      <c r="B33" s="41" t="s">
        <v>375</v>
      </c>
      <c r="C33" s="117">
        <v>10000</v>
      </c>
      <c r="D33" s="117">
        <f>C33*12</f>
        <v>120000</v>
      </c>
      <c r="E33" s="117">
        <f>D33*$B$8+D33</f>
        <v>126000</v>
      </c>
      <c r="F33" s="117">
        <f>E33*$B$8+E33</f>
        <v>132300</v>
      </c>
      <c r="G33" s="117">
        <f>F33*$B$8+F33</f>
        <v>138915</v>
      </c>
    </row>
    <row r="34" spans="1:12" ht="15" customHeight="1" x14ac:dyDescent="0.35">
      <c r="A34" s="704"/>
      <c r="B34" s="41" t="s">
        <v>376</v>
      </c>
      <c r="C34" s="118">
        <v>2000</v>
      </c>
      <c r="D34" s="118">
        <f t="shared" si="1"/>
        <v>24000</v>
      </c>
      <c r="E34" s="118">
        <f>D34*$B$9+D34</f>
        <v>24720</v>
      </c>
      <c r="F34" s="118">
        <f>E34*$B$9+E34</f>
        <v>25461.599999999999</v>
      </c>
      <c r="G34" s="118">
        <f>F34*$B$9+F34</f>
        <v>26225.447999999997</v>
      </c>
    </row>
    <row r="35" spans="1:12" ht="14.5" x14ac:dyDescent="0.35">
      <c r="A35" s="41" t="s">
        <v>377</v>
      </c>
      <c r="B35" s="41" t="s">
        <v>378</v>
      </c>
      <c r="C35" s="118">
        <v>100</v>
      </c>
      <c r="D35" s="120">
        <f t="shared" si="1"/>
        <v>1200</v>
      </c>
      <c r="E35" s="120">
        <f t="shared" ref="E35:G35" si="2">D35</f>
        <v>1200</v>
      </c>
      <c r="F35" s="120">
        <f t="shared" si="2"/>
        <v>1200</v>
      </c>
      <c r="G35" s="120">
        <f t="shared" si="2"/>
        <v>1200</v>
      </c>
    </row>
    <row r="36" spans="1:12" ht="15" customHeight="1" x14ac:dyDescent="0.35">
      <c r="A36" s="41" t="s">
        <v>355</v>
      </c>
      <c r="B36" s="41"/>
      <c r="C36" s="121">
        <f>SUM(C27:C35)</f>
        <v>23103.666666666664</v>
      </c>
      <c r="D36" s="122">
        <f>SUM(D27:D35)</f>
        <v>337244</v>
      </c>
      <c r="E36" s="122">
        <f>SUM(E27:E35)</f>
        <v>284888</v>
      </c>
      <c r="F36" s="122">
        <f>SUM(F27:F35)</f>
        <v>292881.31999999995</v>
      </c>
      <c r="G36" s="122">
        <f>SUM(G27:G35)</f>
        <v>301240.43959999998</v>
      </c>
    </row>
    <row r="37" spans="1:12" ht="15" customHeight="1" x14ac:dyDescent="0.35">
      <c r="A37" s="41" t="s">
        <v>379</v>
      </c>
      <c r="B37" s="41"/>
      <c r="C37" s="121">
        <f>I51/12</f>
        <v>27160</v>
      </c>
      <c r="D37" s="123">
        <f>I51</f>
        <v>325920</v>
      </c>
      <c r="E37" s="123">
        <f>J51</f>
        <v>348734.39999999997</v>
      </c>
      <c r="F37" s="123">
        <f>K51</f>
        <v>373145.80800000002</v>
      </c>
      <c r="G37" s="123">
        <f>L51</f>
        <v>399266.01456000004</v>
      </c>
    </row>
    <row r="38" spans="1:12" ht="15" customHeight="1" x14ac:dyDescent="0.35">
      <c r="A38" s="41" t="s">
        <v>380</v>
      </c>
      <c r="B38" s="41"/>
      <c r="C38" s="121">
        <f>D38/12</f>
        <v>40740</v>
      </c>
      <c r="D38" s="123">
        <f>D37*B12</f>
        <v>488880</v>
      </c>
      <c r="E38" s="123">
        <f>E37*B12</f>
        <v>523101.6</v>
      </c>
      <c r="F38" s="123">
        <f>F37*B12</f>
        <v>559718.71200000006</v>
      </c>
      <c r="G38" s="123">
        <f>G37*B12</f>
        <v>598899.02184000006</v>
      </c>
    </row>
    <row r="39" spans="1:12" thickBot="1" x14ac:dyDescent="0.4">
      <c r="A39" s="41" t="s">
        <v>381</v>
      </c>
      <c r="B39" s="41"/>
      <c r="C39" s="121"/>
      <c r="D39" s="124">
        <f>D38-D36</f>
        <v>151636</v>
      </c>
      <c r="E39" s="124">
        <f t="shared" ref="E39:G39" si="3">E38-E36</f>
        <v>238213.59999999998</v>
      </c>
      <c r="F39" s="124">
        <f t="shared" si="3"/>
        <v>266837.39200000011</v>
      </c>
      <c r="G39" s="125">
        <f t="shared" si="3"/>
        <v>297658.58224000008</v>
      </c>
    </row>
    <row r="40" spans="1:12" ht="15" customHeight="1" x14ac:dyDescent="0.35">
      <c r="C40" s="126"/>
    </row>
    <row r="41" spans="1:12" ht="15" customHeight="1" x14ac:dyDescent="0.35">
      <c r="A41" s="220" t="s">
        <v>382</v>
      </c>
      <c r="B41" s="221">
        <v>280</v>
      </c>
    </row>
    <row r="42" spans="1:12" ht="14.5" x14ac:dyDescent="0.35">
      <c r="A42" s="127" t="s">
        <v>34</v>
      </c>
      <c r="B42" s="128" t="s">
        <v>383</v>
      </c>
      <c r="C42" s="128" t="s">
        <v>384</v>
      </c>
      <c r="D42" s="128" t="s">
        <v>385</v>
      </c>
      <c r="E42" s="128" t="s">
        <v>386</v>
      </c>
      <c r="F42" s="128" t="s">
        <v>387</v>
      </c>
      <c r="G42" s="128" t="s">
        <v>388</v>
      </c>
      <c r="H42" s="129" t="s">
        <v>213</v>
      </c>
      <c r="I42" s="128" t="s">
        <v>389</v>
      </c>
      <c r="J42" s="128" t="s">
        <v>390</v>
      </c>
      <c r="K42" s="128" t="s">
        <v>391</v>
      </c>
      <c r="L42" s="128" t="s">
        <v>392</v>
      </c>
    </row>
    <row r="43" spans="1:12" ht="14.5" x14ac:dyDescent="0.35">
      <c r="A43" s="130" t="s">
        <v>41</v>
      </c>
      <c r="B43" s="131">
        <v>16</v>
      </c>
      <c r="C43" s="132">
        <f>(B43*$B$41)/12</f>
        <v>373.33333333333331</v>
      </c>
      <c r="D43" s="132">
        <f>C43*12</f>
        <v>4480</v>
      </c>
      <c r="E43" s="132">
        <f t="shared" ref="E43:G50" si="4">D43*$B$10+D43</f>
        <v>4614.3999999999996</v>
      </c>
      <c r="F43" s="132">
        <f t="shared" si="4"/>
        <v>4752.8319999999994</v>
      </c>
      <c r="G43" s="132">
        <f t="shared" si="4"/>
        <v>4895.4169599999996</v>
      </c>
      <c r="H43" s="133">
        <v>260</v>
      </c>
      <c r="I43" s="134">
        <f t="shared" ref="I43:I50" si="5">(B43*H43)*12</f>
        <v>49920</v>
      </c>
      <c r="J43" s="135">
        <f t="shared" ref="J43:L50" si="6">I43*$B$11 +I43</f>
        <v>53414.400000000001</v>
      </c>
      <c r="K43" s="135">
        <f t="shared" si="6"/>
        <v>57153.408000000003</v>
      </c>
      <c r="L43" s="135">
        <f t="shared" si="6"/>
        <v>61154.146560000001</v>
      </c>
    </row>
    <row r="44" spans="1:12" ht="14.5" x14ac:dyDescent="0.35">
      <c r="A44" s="130" t="s">
        <v>43</v>
      </c>
      <c r="B44" s="131">
        <v>3</v>
      </c>
      <c r="C44" s="132">
        <f t="shared" ref="C44:C50" si="7">(B44*$B$41)/12</f>
        <v>70</v>
      </c>
      <c r="D44" s="132">
        <f t="shared" ref="D44:D50" si="8">C44*12</f>
        <v>840</v>
      </c>
      <c r="E44" s="132">
        <f t="shared" si="4"/>
        <v>865.2</v>
      </c>
      <c r="F44" s="132">
        <f t="shared" si="4"/>
        <v>891.15600000000006</v>
      </c>
      <c r="G44" s="132">
        <f t="shared" si="4"/>
        <v>917.89068000000009</v>
      </c>
      <c r="H44" s="133">
        <v>260</v>
      </c>
      <c r="I44" s="134">
        <f t="shared" si="5"/>
        <v>9360</v>
      </c>
      <c r="J44" s="135">
        <f t="shared" si="6"/>
        <v>10015.200000000001</v>
      </c>
      <c r="K44" s="135">
        <f t="shared" si="6"/>
        <v>10716.264000000001</v>
      </c>
      <c r="L44" s="135">
        <f t="shared" si="6"/>
        <v>11466.402480000001</v>
      </c>
    </row>
    <row r="45" spans="1:12" ht="14.5" x14ac:dyDescent="0.35">
      <c r="A45" s="130" t="s">
        <v>46</v>
      </c>
      <c r="B45" s="131">
        <v>3</v>
      </c>
      <c r="C45" s="132">
        <f t="shared" si="7"/>
        <v>70</v>
      </c>
      <c r="D45" s="132">
        <f t="shared" si="8"/>
        <v>840</v>
      </c>
      <c r="E45" s="132">
        <f t="shared" si="4"/>
        <v>865.2</v>
      </c>
      <c r="F45" s="132">
        <f t="shared" si="4"/>
        <v>891.15600000000006</v>
      </c>
      <c r="G45" s="132">
        <f t="shared" si="4"/>
        <v>917.89068000000009</v>
      </c>
      <c r="H45" s="133">
        <v>260</v>
      </c>
      <c r="I45" s="134">
        <f t="shared" si="5"/>
        <v>9360</v>
      </c>
      <c r="J45" s="135">
        <f t="shared" si="6"/>
        <v>10015.200000000001</v>
      </c>
      <c r="K45" s="135">
        <f t="shared" si="6"/>
        <v>10716.264000000001</v>
      </c>
      <c r="L45" s="135">
        <f t="shared" si="6"/>
        <v>11466.402480000001</v>
      </c>
    </row>
    <row r="46" spans="1:12" ht="14.5" x14ac:dyDescent="0.35">
      <c r="A46" s="130" t="s">
        <v>48</v>
      </c>
      <c r="B46" s="131">
        <v>30</v>
      </c>
      <c r="C46" s="132">
        <f t="shared" si="7"/>
        <v>700</v>
      </c>
      <c r="D46" s="132">
        <f t="shared" si="8"/>
        <v>8400</v>
      </c>
      <c r="E46" s="132">
        <f t="shared" si="4"/>
        <v>8652</v>
      </c>
      <c r="F46" s="132">
        <f t="shared" si="4"/>
        <v>8911.56</v>
      </c>
      <c r="G46" s="132">
        <f t="shared" si="4"/>
        <v>9178.9067999999988</v>
      </c>
      <c r="H46" s="133">
        <v>260</v>
      </c>
      <c r="I46" s="134">
        <f t="shared" si="5"/>
        <v>93600</v>
      </c>
      <c r="J46" s="135">
        <f t="shared" si="6"/>
        <v>100152</v>
      </c>
      <c r="K46" s="135">
        <f t="shared" si="6"/>
        <v>107162.64</v>
      </c>
      <c r="L46" s="135">
        <f t="shared" si="6"/>
        <v>114664.0248</v>
      </c>
    </row>
    <row r="47" spans="1:12" ht="14.5" x14ac:dyDescent="0.35">
      <c r="A47" s="130" t="s">
        <v>50</v>
      </c>
      <c r="B47" s="131">
        <v>14</v>
      </c>
      <c r="C47" s="132">
        <f t="shared" si="7"/>
        <v>326.66666666666669</v>
      </c>
      <c r="D47" s="132">
        <f t="shared" si="8"/>
        <v>3920</v>
      </c>
      <c r="E47" s="132">
        <f t="shared" si="4"/>
        <v>4037.6</v>
      </c>
      <c r="F47" s="132">
        <f t="shared" si="4"/>
        <v>4158.7280000000001</v>
      </c>
      <c r="G47" s="132">
        <f t="shared" si="4"/>
        <v>4283.4898400000002</v>
      </c>
      <c r="H47" s="133">
        <v>220</v>
      </c>
      <c r="I47" s="134">
        <f t="shared" si="5"/>
        <v>36960</v>
      </c>
      <c r="J47" s="135">
        <f t="shared" si="6"/>
        <v>39547.199999999997</v>
      </c>
      <c r="K47" s="135">
        <f t="shared" si="6"/>
        <v>42315.504000000001</v>
      </c>
      <c r="L47" s="135">
        <f t="shared" si="6"/>
        <v>45277.58928</v>
      </c>
    </row>
    <row r="48" spans="1:12" ht="14.5" x14ac:dyDescent="0.35">
      <c r="A48" s="130" t="s">
        <v>52</v>
      </c>
      <c r="B48" s="131">
        <v>19</v>
      </c>
      <c r="C48" s="132">
        <f t="shared" si="7"/>
        <v>443.33333333333331</v>
      </c>
      <c r="D48" s="132">
        <f t="shared" si="8"/>
        <v>5320</v>
      </c>
      <c r="E48" s="132">
        <f t="shared" si="4"/>
        <v>5479.6</v>
      </c>
      <c r="F48" s="132">
        <f t="shared" si="4"/>
        <v>5643.9880000000003</v>
      </c>
      <c r="G48" s="132">
        <f t="shared" si="4"/>
        <v>5813.30764</v>
      </c>
      <c r="H48" s="133">
        <v>260</v>
      </c>
      <c r="I48" s="134">
        <f t="shared" si="5"/>
        <v>59280</v>
      </c>
      <c r="J48" s="135">
        <f t="shared" si="6"/>
        <v>63429.599999999999</v>
      </c>
      <c r="K48" s="135">
        <f t="shared" si="6"/>
        <v>67869.671999999991</v>
      </c>
      <c r="L48" s="135">
        <f t="shared" si="6"/>
        <v>72620.549039999984</v>
      </c>
    </row>
    <row r="49" spans="1:12" ht="14.5" x14ac:dyDescent="0.35">
      <c r="A49" s="130" t="s">
        <v>54</v>
      </c>
      <c r="B49" s="131">
        <v>14</v>
      </c>
      <c r="C49" s="132">
        <f t="shared" si="7"/>
        <v>326.66666666666669</v>
      </c>
      <c r="D49" s="132">
        <f t="shared" si="8"/>
        <v>3920</v>
      </c>
      <c r="E49" s="132">
        <f t="shared" si="4"/>
        <v>4037.6</v>
      </c>
      <c r="F49" s="132">
        <f t="shared" si="4"/>
        <v>4158.7280000000001</v>
      </c>
      <c r="G49" s="132">
        <f t="shared" si="4"/>
        <v>4283.4898400000002</v>
      </c>
      <c r="H49" s="133">
        <v>260</v>
      </c>
      <c r="I49" s="134">
        <f t="shared" si="5"/>
        <v>43680</v>
      </c>
      <c r="J49" s="135">
        <f t="shared" si="6"/>
        <v>46737.599999999999</v>
      </c>
      <c r="K49" s="135">
        <f t="shared" si="6"/>
        <v>50009.231999999996</v>
      </c>
      <c r="L49" s="135">
        <f t="shared" si="6"/>
        <v>53509.878239999998</v>
      </c>
    </row>
    <row r="50" spans="1:12" ht="14.5" x14ac:dyDescent="0.35">
      <c r="A50" s="130" t="s">
        <v>56</v>
      </c>
      <c r="B50" s="131">
        <v>11</v>
      </c>
      <c r="C50" s="132">
        <f t="shared" si="7"/>
        <v>256.66666666666669</v>
      </c>
      <c r="D50" s="132">
        <f t="shared" si="8"/>
        <v>3080</v>
      </c>
      <c r="E50" s="132">
        <f t="shared" si="4"/>
        <v>3172.4</v>
      </c>
      <c r="F50" s="132">
        <f t="shared" si="4"/>
        <v>3267.5720000000001</v>
      </c>
      <c r="G50" s="132">
        <f t="shared" si="4"/>
        <v>3365.5991600000002</v>
      </c>
      <c r="H50" s="133">
        <v>180</v>
      </c>
      <c r="I50" s="134">
        <f t="shared" si="5"/>
        <v>23760</v>
      </c>
      <c r="J50" s="135">
        <f t="shared" si="6"/>
        <v>25423.200000000001</v>
      </c>
      <c r="K50" s="135">
        <f t="shared" si="6"/>
        <v>27202.824000000001</v>
      </c>
      <c r="L50" s="135">
        <f t="shared" si="6"/>
        <v>29107.021680000002</v>
      </c>
    </row>
    <row r="51" spans="1:12" ht="14.5" x14ac:dyDescent="0.35">
      <c r="D51" s="136">
        <f>SUM(D43:D50)</f>
        <v>30800</v>
      </c>
      <c r="E51" s="136">
        <f t="shared" ref="E51:G51" si="9">SUM(E43:E50)</f>
        <v>31724</v>
      </c>
      <c r="F51" s="136">
        <f t="shared" si="9"/>
        <v>32675.719999999998</v>
      </c>
      <c r="G51" s="136">
        <f t="shared" si="9"/>
        <v>33655.991600000001</v>
      </c>
      <c r="H51" s="45"/>
      <c r="I51" s="137">
        <f>SUM(I43:I50)</f>
        <v>325920</v>
      </c>
      <c r="J51" s="137">
        <f>SUM(J43:J50)</f>
        <v>348734.39999999997</v>
      </c>
      <c r="K51" s="137">
        <f t="shared" ref="K51:L51" si="10">SUM(K43:K50)</f>
        <v>373145.80800000002</v>
      </c>
      <c r="L51" s="137">
        <f t="shared" si="10"/>
        <v>399266.01456000004</v>
      </c>
    </row>
    <row r="52" spans="1:12" ht="14.5" x14ac:dyDescent="0.35"/>
    <row r="53" spans="1:12" ht="15" customHeight="1" x14ac:dyDescent="0.35">
      <c r="B53" s="138"/>
    </row>
    <row r="54" spans="1:12" ht="14.5" x14ac:dyDescent="0.35">
      <c r="A54" s="108" t="s">
        <v>393</v>
      </c>
      <c r="B54" s="138"/>
    </row>
    <row r="55" spans="1:12" ht="14.5" x14ac:dyDescent="0.35">
      <c r="A55" s="116" t="s">
        <v>10</v>
      </c>
      <c r="B55" s="116" t="s">
        <v>394</v>
      </c>
      <c r="C55" s="116" t="s">
        <v>395</v>
      </c>
      <c r="D55" s="116" t="s">
        <v>396</v>
      </c>
      <c r="E55" s="116" t="s">
        <v>397</v>
      </c>
    </row>
    <row r="56" spans="1:12" ht="14.5" x14ac:dyDescent="0.35">
      <c r="A56" s="41" t="s">
        <v>103</v>
      </c>
      <c r="B56" s="118">
        <v>2.6</v>
      </c>
      <c r="C56" s="41">
        <v>1200</v>
      </c>
      <c r="D56" s="118">
        <f t="shared" ref="D56:D68" si="11">B56*1200</f>
        <v>3120</v>
      </c>
      <c r="E56" s="139">
        <v>0.7</v>
      </c>
    </row>
    <row r="57" spans="1:12" ht="14.5" x14ac:dyDescent="0.35">
      <c r="A57" s="41" t="s">
        <v>104</v>
      </c>
      <c r="B57" s="118">
        <v>3.75</v>
      </c>
      <c r="C57" s="41">
        <v>1200</v>
      </c>
      <c r="D57" s="118">
        <f t="shared" si="11"/>
        <v>4500</v>
      </c>
      <c r="E57" s="139">
        <v>0.8</v>
      </c>
    </row>
    <row r="58" spans="1:12" ht="14.5" x14ac:dyDescent="0.35">
      <c r="A58" s="41" t="s">
        <v>11</v>
      </c>
      <c r="B58" s="118">
        <v>4.5833300000000001</v>
      </c>
      <c r="C58" s="41">
        <v>1200</v>
      </c>
      <c r="D58" s="118">
        <f t="shared" si="11"/>
        <v>5499.9960000000001</v>
      </c>
      <c r="E58" s="139">
        <v>1</v>
      </c>
    </row>
    <row r="59" spans="1:12" ht="14.5" x14ac:dyDescent="0.35">
      <c r="A59" s="41" t="s">
        <v>105</v>
      </c>
      <c r="B59" s="118">
        <v>4.7699999999999996</v>
      </c>
      <c r="C59" s="41">
        <v>1200</v>
      </c>
      <c r="D59" s="118">
        <f t="shared" si="11"/>
        <v>5723.9999999999991</v>
      </c>
      <c r="E59" s="139">
        <v>1.05</v>
      </c>
    </row>
    <row r="60" spans="1:12" ht="14.5" x14ac:dyDescent="0.35">
      <c r="A60" s="41" t="s">
        <v>106</v>
      </c>
      <c r="B60" s="118">
        <v>4.8</v>
      </c>
      <c r="C60" s="41">
        <v>1200</v>
      </c>
      <c r="D60" s="118">
        <f t="shared" si="11"/>
        <v>5760</v>
      </c>
      <c r="E60" s="139">
        <v>1.1000000000000001</v>
      </c>
    </row>
    <row r="61" spans="1:12" ht="15" customHeight="1" x14ac:dyDescent="0.35">
      <c r="A61" s="140" t="s">
        <v>107</v>
      </c>
      <c r="B61" s="118">
        <v>5</v>
      </c>
      <c r="C61" s="41">
        <v>1200</v>
      </c>
      <c r="D61" s="118">
        <f t="shared" si="11"/>
        <v>6000</v>
      </c>
      <c r="E61" s="139">
        <v>1.2</v>
      </c>
    </row>
    <row r="62" spans="1:12" ht="15" customHeight="1" x14ac:dyDescent="0.35">
      <c r="A62" s="41" t="s">
        <v>108</v>
      </c>
      <c r="B62" s="118">
        <v>5.31</v>
      </c>
      <c r="C62" s="41">
        <v>1200</v>
      </c>
      <c r="D62" s="118">
        <f t="shared" si="11"/>
        <v>6371.9999999999991</v>
      </c>
      <c r="E62" s="139">
        <v>1.25</v>
      </c>
    </row>
    <row r="63" spans="1:12" ht="15" customHeight="1" x14ac:dyDescent="0.35">
      <c r="A63" s="41" t="s">
        <v>109</v>
      </c>
      <c r="B63" s="118">
        <v>5.86</v>
      </c>
      <c r="C63" s="41">
        <v>1200</v>
      </c>
      <c r="D63" s="118">
        <f t="shared" si="11"/>
        <v>7032</v>
      </c>
      <c r="E63" s="139">
        <v>1.3</v>
      </c>
    </row>
    <row r="64" spans="1:12" ht="14.5" x14ac:dyDescent="0.35">
      <c r="A64" s="41" t="s">
        <v>110</v>
      </c>
      <c r="B64" s="118">
        <v>6</v>
      </c>
      <c r="C64" s="41">
        <v>1200</v>
      </c>
      <c r="D64" s="118">
        <f t="shared" si="11"/>
        <v>7200</v>
      </c>
      <c r="E64" s="139">
        <v>1.35</v>
      </c>
    </row>
    <row r="65" spans="1:10" ht="15" customHeight="1" x14ac:dyDescent="0.35">
      <c r="A65" s="41" t="s">
        <v>111</v>
      </c>
      <c r="B65" s="118">
        <v>6.64</v>
      </c>
      <c r="C65" s="41">
        <v>1200</v>
      </c>
      <c r="D65" s="118">
        <f t="shared" si="11"/>
        <v>7968</v>
      </c>
      <c r="E65" s="139">
        <v>1.45</v>
      </c>
    </row>
    <row r="66" spans="1:10" ht="15" customHeight="1" x14ac:dyDescent="0.35">
      <c r="A66" s="141" t="s">
        <v>112</v>
      </c>
      <c r="B66" s="118">
        <v>6.76</v>
      </c>
      <c r="C66" s="41">
        <v>1200</v>
      </c>
      <c r="D66" s="118">
        <f t="shared" si="11"/>
        <v>8112</v>
      </c>
      <c r="E66" s="139">
        <v>1.5</v>
      </c>
    </row>
    <row r="67" spans="1:10" ht="15" customHeight="1" x14ac:dyDescent="0.35">
      <c r="A67" s="41" t="s">
        <v>113</v>
      </c>
      <c r="B67" s="118">
        <v>7</v>
      </c>
      <c r="C67" s="41">
        <v>1200</v>
      </c>
      <c r="D67" s="118">
        <f t="shared" si="11"/>
        <v>8400</v>
      </c>
      <c r="E67" s="139">
        <v>1.55</v>
      </c>
    </row>
    <row r="68" spans="1:10" ht="15" customHeight="1" x14ac:dyDescent="0.35">
      <c r="A68" s="41" t="s">
        <v>114</v>
      </c>
      <c r="B68" s="118">
        <v>9.2799999999999994</v>
      </c>
      <c r="C68" s="41">
        <v>1200</v>
      </c>
      <c r="D68" s="118">
        <f t="shared" si="11"/>
        <v>11136</v>
      </c>
      <c r="E68" s="139">
        <v>1.7</v>
      </c>
    </row>
    <row r="71" spans="1:10" ht="15" customHeight="1" x14ac:dyDescent="0.35">
      <c r="A71" s="623" t="s">
        <v>398</v>
      </c>
    </row>
    <row r="72" spans="1:10" ht="15" customHeight="1" x14ac:dyDescent="0.35">
      <c r="A72" s="89" t="s">
        <v>349</v>
      </c>
      <c r="B72" s="142" t="str">
        <f>B14</f>
        <v>Robinson Road</v>
      </c>
      <c r="D72" s="116" t="s">
        <v>399</v>
      </c>
      <c r="E72" s="116" t="s">
        <v>400</v>
      </c>
      <c r="F72" s="116" t="s">
        <v>401</v>
      </c>
      <c r="G72" s="116" t="s">
        <v>402</v>
      </c>
    </row>
    <row r="73" spans="1:10" ht="15" customHeight="1" x14ac:dyDescent="0.35">
      <c r="A73" s="45"/>
      <c r="B73" s="89"/>
      <c r="C73" s="41" t="s">
        <v>139</v>
      </c>
      <c r="D73" s="118">
        <f>D38</f>
        <v>488880</v>
      </c>
      <c r="E73" s="118">
        <f t="shared" ref="E73:G74" si="12">E38</f>
        <v>523101.6</v>
      </c>
      <c r="F73" s="118">
        <f t="shared" si="12"/>
        <v>559718.71200000006</v>
      </c>
      <c r="G73" s="118">
        <f t="shared" si="12"/>
        <v>598899.02184000006</v>
      </c>
    </row>
    <row r="74" spans="1:10" ht="15" customHeight="1" x14ac:dyDescent="0.35">
      <c r="A74" s="45"/>
      <c r="B74" s="89"/>
      <c r="C74" s="41" t="s">
        <v>403</v>
      </c>
      <c r="D74" s="118">
        <f>D39</f>
        <v>151636</v>
      </c>
      <c r="E74" s="118">
        <f t="shared" si="12"/>
        <v>238213.59999999998</v>
      </c>
      <c r="F74" s="118">
        <f t="shared" si="12"/>
        <v>266837.39200000011</v>
      </c>
      <c r="G74" s="118">
        <f t="shared" si="12"/>
        <v>297658.58224000008</v>
      </c>
    </row>
    <row r="76" spans="1:10" ht="15" customHeight="1" x14ac:dyDescent="0.35">
      <c r="D76" s="116" t="s">
        <v>404</v>
      </c>
      <c r="E76" s="116" t="s">
        <v>405</v>
      </c>
      <c r="F76" s="116" t="s">
        <v>406</v>
      </c>
      <c r="G76" s="116" t="s">
        <v>407</v>
      </c>
      <c r="H76" s="109" t="s">
        <v>408</v>
      </c>
      <c r="I76" s="109"/>
    </row>
    <row r="77" spans="1:10" ht="15" customHeight="1" x14ac:dyDescent="0.35">
      <c r="D77" s="222">
        <f>D39/D36</f>
        <v>0.44963290673814804</v>
      </c>
      <c r="E77" s="222">
        <f>SUM(D39:E39)/SUM(D36:E36)</f>
        <v>0.62663486205499797</v>
      </c>
      <c r="F77" s="222">
        <f>SUM(D39:F39)/SUM(D36:F36)</f>
        <v>0.71768025409728475</v>
      </c>
      <c r="G77" s="222">
        <f>SUM(D39:G39)/SUM(D36:G36)</f>
        <v>0.78465991714908589</v>
      </c>
      <c r="H77" t="s">
        <v>404</v>
      </c>
      <c r="I77" s="86" t="s">
        <v>409</v>
      </c>
      <c r="J77" t="str">
        <f ca="1">_xlfn.FORMULATEXT(D77)</f>
        <v>=D39/D36</v>
      </c>
    </row>
    <row r="78" spans="1:10" ht="15" customHeight="1" x14ac:dyDescent="0.35">
      <c r="H78" t="s">
        <v>405</v>
      </c>
      <c r="I78" t="s">
        <v>410</v>
      </c>
      <c r="J78" t="str">
        <f ca="1">_xlfn.FORMULATEXT(E77)</f>
        <v>=SUM(D39:E39)/SUM(D36:E36)</v>
      </c>
    </row>
    <row r="79" spans="1:10" ht="15" customHeight="1" x14ac:dyDescent="0.35">
      <c r="C79" s="336" t="s">
        <v>10</v>
      </c>
      <c r="D79" s="143" t="s">
        <v>404</v>
      </c>
      <c r="E79" s="143" t="s">
        <v>405</v>
      </c>
      <c r="F79" s="143" t="s">
        <v>406</v>
      </c>
      <c r="G79" s="143" t="s">
        <v>407</v>
      </c>
      <c r="H79" t="s">
        <v>406</v>
      </c>
      <c r="I79" t="s">
        <v>411</v>
      </c>
      <c r="J79" t="str">
        <f ca="1">_xlfn.FORMULATEXT(F77)</f>
        <v>=SUM(D39:F39)/SUM(D36:F36)</v>
      </c>
    </row>
    <row r="80" spans="1:10" ht="15" customHeight="1" x14ac:dyDescent="0.35">
      <c r="C80" s="222" t="s">
        <v>103</v>
      </c>
      <c r="D80" s="222">
        <v>-0.1773851590106007</v>
      </c>
      <c r="E80" s="222">
        <v>-5.9853640279978741E-2</v>
      </c>
      <c r="F80" s="222">
        <v>-2.5039726570870932E-3</v>
      </c>
      <c r="G80" s="222">
        <v>3.7177137413641287E-2</v>
      </c>
      <c r="H80" t="s">
        <v>407</v>
      </c>
      <c r="I80" t="s">
        <v>412</v>
      </c>
      <c r="J80" t="str">
        <f ca="1">_xlfn.FORMULATEXT(G77)</f>
        <v>=SUM(D39:G39)/SUM(D36:G36)</v>
      </c>
    </row>
    <row r="81" spans="1:10" ht="15" customHeight="1" x14ac:dyDescent="0.35">
      <c r="C81" s="222" t="s">
        <v>104</v>
      </c>
      <c r="D81" s="222">
        <v>-0.11284110241578768</v>
      </c>
      <c r="E81" s="222">
        <v>7.9924698007634038E-3</v>
      </c>
      <c r="F81" s="222">
        <v>6.7847278709765951E-2</v>
      </c>
      <c r="G81" s="222">
        <v>0.11005625289393696</v>
      </c>
    </row>
    <row r="82" spans="1:10" ht="15" customHeight="1" x14ac:dyDescent="0.35">
      <c r="C82" s="222" t="s">
        <v>11</v>
      </c>
      <c r="D82" s="222">
        <v>6.5446391439773779E-2</v>
      </c>
      <c r="E82" s="222">
        <v>0.20593753042306809</v>
      </c>
      <c r="F82" s="222">
        <v>0.27627799349202131</v>
      </c>
      <c r="G82" s="222">
        <v>0.3265157021641189</v>
      </c>
      <c r="H82" t="s">
        <v>413</v>
      </c>
      <c r="I82" t="s">
        <v>414</v>
      </c>
      <c r="J82" s="68" t="s">
        <v>415</v>
      </c>
    </row>
    <row r="83" spans="1:10" ht="15" customHeight="1" x14ac:dyDescent="0.35">
      <c r="C83" s="222" t="s">
        <v>105</v>
      </c>
      <c r="D83" s="222">
        <v>0.10897377733418021</v>
      </c>
      <c r="E83" s="222">
        <v>0.25418207570553447</v>
      </c>
      <c r="F83" s="222">
        <v>0.32705678671462746</v>
      </c>
      <c r="G83" s="222">
        <v>0.37924699332714007</v>
      </c>
    </row>
    <row r="84" spans="1:10" ht="15" customHeight="1" x14ac:dyDescent="0.35">
      <c r="C84" s="222" t="s">
        <v>106</v>
      </c>
      <c r="D84" s="222">
        <v>0.16015791858132158</v>
      </c>
      <c r="E84" s="222">
        <v>0.31189823293570257</v>
      </c>
      <c r="F84" s="222">
        <v>0.38808005941460316</v>
      </c>
      <c r="G84" s="222">
        <v>0.44266248274092451</v>
      </c>
      <c r="H84" t="s">
        <v>416</v>
      </c>
    </row>
    <row r="85" spans="1:10" ht="15" customHeight="1" x14ac:dyDescent="0.35">
      <c r="C85" s="334" t="s">
        <v>107</v>
      </c>
      <c r="D85" s="222">
        <v>0.25394036550176341</v>
      </c>
      <c r="E85" s="222">
        <v>0.41673598812832047</v>
      </c>
      <c r="F85" s="222">
        <v>0.49867490446628771</v>
      </c>
      <c r="G85" s="222">
        <v>0.55755144644290022</v>
      </c>
      <c r="H85" t="s">
        <v>417</v>
      </c>
      <c r="I85" t="s">
        <v>418</v>
      </c>
    </row>
    <row r="86" spans="1:10" ht="15" customHeight="1" x14ac:dyDescent="0.35">
      <c r="C86" s="222" t="s">
        <v>108</v>
      </c>
      <c r="D86" s="222">
        <v>0.28775714050903389</v>
      </c>
      <c r="E86" s="222">
        <v>0.45306458616197876</v>
      </c>
      <c r="F86" s="222">
        <v>0.53659227625754413</v>
      </c>
      <c r="G86" s="222">
        <v>0.59687372506558789</v>
      </c>
      <c r="H86" t="s">
        <v>419</v>
      </c>
      <c r="I86" t="s">
        <v>420</v>
      </c>
    </row>
    <row r="87" spans="1:10" ht="15" customHeight="1" x14ac:dyDescent="0.35">
      <c r="C87" s="222" t="s">
        <v>109</v>
      </c>
      <c r="D87" s="222">
        <v>0.30655844876713007</v>
      </c>
      <c r="E87" s="222">
        <v>0.47103835548429079</v>
      </c>
      <c r="F87" s="222">
        <v>0.5547180312694876</v>
      </c>
      <c r="G87" s="222">
        <v>0.61556497749925776</v>
      </c>
    </row>
    <row r="88" spans="1:10" ht="15" customHeight="1" x14ac:dyDescent="0.35">
      <c r="C88" s="222" t="s">
        <v>110</v>
      </c>
      <c r="D88" s="222">
        <v>0.34842782715292675</v>
      </c>
      <c r="E88" s="222">
        <v>0.51735534216085455</v>
      </c>
      <c r="F88" s="222">
        <v>0.60344619493870033</v>
      </c>
      <c r="G88" s="222">
        <v>0.666163289205985</v>
      </c>
    </row>
    <row r="89" spans="1:10" ht="15" customHeight="1" x14ac:dyDescent="0.35">
      <c r="C89" s="222" t="s">
        <v>111</v>
      </c>
      <c r="D89" s="222">
        <v>0.40852895241955672</v>
      </c>
      <c r="E89" s="222">
        <v>0.58119739572894369</v>
      </c>
      <c r="F89" s="222">
        <v>0.66988496435793043</v>
      </c>
      <c r="G89" s="222">
        <v>0.73503147977459471</v>
      </c>
    </row>
    <row r="90" spans="1:10" ht="15" customHeight="1" x14ac:dyDescent="0.35">
      <c r="C90" s="335" t="s">
        <v>112</v>
      </c>
      <c r="D90" s="222">
        <v>0.44963290673814804</v>
      </c>
      <c r="E90" s="222">
        <v>0.62663486205499797</v>
      </c>
      <c r="F90" s="222">
        <v>0.71768025409728475</v>
      </c>
      <c r="G90" s="222">
        <v>0.78465991714908589</v>
      </c>
    </row>
    <row r="91" spans="1:10" ht="15" customHeight="1" x14ac:dyDescent="0.35">
      <c r="A91" s="313"/>
      <c r="B91" s="314"/>
      <c r="C91" s="222" t="s">
        <v>113</v>
      </c>
      <c r="D91" s="337">
        <v>0.48280000000000001</v>
      </c>
      <c r="E91" s="222">
        <v>0.66238660570643704</v>
      </c>
      <c r="F91" s="222">
        <v>0.75504982356894779</v>
      </c>
      <c r="G91" s="222">
        <v>0.82342346039763326</v>
      </c>
    </row>
    <row r="92" spans="1:10" ht="15" customHeight="1" x14ac:dyDescent="0.35">
      <c r="C92" s="222" t="s">
        <v>114</v>
      </c>
      <c r="D92" s="222">
        <v>0.48331066682372592</v>
      </c>
      <c r="E92" s="222">
        <v>0.65092741122889042</v>
      </c>
      <c r="F92" s="222">
        <v>0.73972049073222967</v>
      </c>
      <c r="G92" s="222">
        <v>0.80696501465866144</v>
      </c>
    </row>
    <row r="95" spans="1:10" s="621" customFormat="1" ht="15" customHeight="1" x14ac:dyDescent="0.35">
      <c r="A95" s="622" t="s">
        <v>421</v>
      </c>
    </row>
    <row r="96" spans="1:10" ht="15" customHeight="1" x14ac:dyDescent="0.35">
      <c r="A96" s="262" t="s">
        <v>422</v>
      </c>
      <c r="B96" s="262" t="s">
        <v>423</v>
      </c>
      <c r="C96" s="262" t="s">
        <v>424</v>
      </c>
      <c r="D96" s="262" t="s">
        <v>425</v>
      </c>
    </row>
    <row r="97" spans="1:14" ht="15" customHeight="1" x14ac:dyDescent="0.35">
      <c r="A97" s="263">
        <v>0.03</v>
      </c>
      <c r="B97" s="264">
        <v>4</v>
      </c>
      <c r="C97" s="266">
        <f>-PV(A97,B97,,D97)</f>
        <v>847923.68194790056</v>
      </c>
      <c r="D97" s="265">
        <f>B22</f>
        <v>954345.57423999999</v>
      </c>
    </row>
    <row r="99" spans="1:14" ht="15" customHeight="1" x14ac:dyDescent="0.35">
      <c r="A99" s="138" t="s">
        <v>426</v>
      </c>
    </row>
    <row r="100" spans="1:14" ht="15" customHeight="1" x14ac:dyDescent="0.35">
      <c r="B100" s="143" t="s">
        <v>103</v>
      </c>
      <c r="C100" s="143" t="s">
        <v>104</v>
      </c>
      <c r="D100" s="143" t="s">
        <v>11</v>
      </c>
      <c r="E100" s="143" t="s">
        <v>105</v>
      </c>
      <c r="F100" s="143" t="s">
        <v>106</v>
      </c>
      <c r="G100" s="311" t="s">
        <v>107</v>
      </c>
      <c r="H100" s="143" t="s">
        <v>108</v>
      </c>
      <c r="I100" s="143" t="s">
        <v>109</v>
      </c>
      <c r="J100" s="143" t="s">
        <v>110</v>
      </c>
      <c r="K100" s="143" t="s">
        <v>111</v>
      </c>
      <c r="L100" s="312" t="s">
        <v>112</v>
      </c>
      <c r="M100" s="143" t="s">
        <v>113</v>
      </c>
      <c r="N100" s="143" t="s">
        <v>114</v>
      </c>
    </row>
    <row r="101" spans="1:14" ht="15" customHeight="1" x14ac:dyDescent="0.35">
      <c r="A101" s="84">
        <f>C97</f>
        <v>847923.68194790056</v>
      </c>
      <c r="B101" s="324">
        <v>36308.596191999852</v>
      </c>
      <c r="C101" s="324">
        <v>114775.21844799991</v>
      </c>
      <c r="D101" s="324">
        <v>356188.65495999996</v>
      </c>
      <c r="E101" s="324">
        <v>417789.77408800018</v>
      </c>
      <c r="F101" s="324">
        <v>488415.08521600021</v>
      </c>
      <c r="G101" s="324">
        <v>621601.70747200004</v>
      </c>
      <c r="H101" s="324">
        <v>676099.01860000007</v>
      </c>
      <c r="I101" s="324">
        <v>716772.3297280001</v>
      </c>
      <c r="J101" s="324">
        <v>781061.64085600013</v>
      </c>
      <c r="K101" s="324">
        <v>888904.26311199972</v>
      </c>
      <c r="L101" s="324">
        <v>954345.57423999999</v>
      </c>
      <c r="M101" s="324">
        <v>1012874.8853680003</v>
      </c>
      <c r="N101" s="324">
        <v>1098606.8187520001</v>
      </c>
    </row>
    <row r="102" spans="1:14" ht="15" customHeight="1" x14ac:dyDescent="0.35">
      <c r="A102" s="308">
        <v>0.03</v>
      </c>
      <c r="B102" s="310">
        <v>32259.717444592774</v>
      </c>
      <c r="C102" s="310">
        <v>101976.29501274177</v>
      </c>
      <c r="D102" s="310">
        <v>316469.00654647028</v>
      </c>
      <c r="E102" s="310">
        <v>371200.8030288099</v>
      </c>
      <c r="F102" s="310">
        <v>433950.47722105368</v>
      </c>
      <c r="G102" s="310">
        <v>552285.06605114893</v>
      </c>
      <c r="H102" s="310">
        <v>600705.2211346085</v>
      </c>
      <c r="I102" s="310">
        <v>636842.93126768165</v>
      </c>
      <c r="J102" s="310">
        <v>693963.15152433165</v>
      </c>
      <c r="K102" s="310">
        <v>789779.92461205146</v>
      </c>
      <c r="L102" s="310">
        <v>847923.68194790056</v>
      </c>
      <c r="M102" s="310">
        <v>899926.21680855646</v>
      </c>
      <c r="N102" s="310">
        <v>976097.92921301094</v>
      </c>
    </row>
    <row r="103" spans="1:14" ht="15" customHeight="1" x14ac:dyDescent="0.35">
      <c r="A103" s="308">
        <v>0.04</v>
      </c>
      <c r="B103" s="310">
        <v>31036.740195327413</v>
      </c>
      <c r="C103" s="310">
        <v>98110.337755702611</v>
      </c>
      <c r="D103" s="310">
        <v>304471.55505704886</v>
      </c>
      <c r="E103" s="310">
        <v>357128.44985978486</v>
      </c>
      <c r="F103" s="310">
        <v>417499.2618047776</v>
      </c>
      <c r="G103" s="310">
        <v>531347.74469829921</v>
      </c>
      <c r="H103" s="310">
        <v>577932.27465036453</v>
      </c>
      <c r="I103" s="310">
        <v>612699.9914656349</v>
      </c>
      <c r="J103" s="310">
        <v>667654.76405626338</v>
      </c>
      <c r="K103" s="310">
        <v>759839.08953232737</v>
      </c>
      <c r="L103" s="310">
        <v>815778.59655102226</v>
      </c>
      <c r="M103" s="310">
        <v>865809.69700131961</v>
      </c>
      <c r="N103" s="310">
        <v>939093.71296304394</v>
      </c>
    </row>
    <row r="104" spans="1:14" ht="15" customHeight="1" x14ac:dyDescent="0.35">
      <c r="A104" s="308">
        <v>0.05</v>
      </c>
      <c r="B104" s="310">
        <v>29871.17194337738</v>
      </c>
      <c r="C104" s="310">
        <v>94425.8562619484</v>
      </c>
      <c r="D104" s="310">
        <v>293037.28792838374</v>
      </c>
      <c r="E104" s="310">
        <v>343716.68108493905</v>
      </c>
      <c r="F104" s="310">
        <v>401820.2993328913</v>
      </c>
      <c r="G104" s="310">
        <v>511393.26307207393</v>
      </c>
      <c r="H104" s="310">
        <v>556228.33580658271</v>
      </c>
      <c r="I104" s="310">
        <v>589690.36952956847</v>
      </c>
      <c r="J104" s="310">
        <v>642581.34489723947</v>
      </c>
      <c r="K104" s="310">
        <v>731303.73711529642</v>
      </c>
      <c r="L104" s="310">
        <v>785142.46573392767</v>
      </c>
      <c r="M104" s="310">
        <v>833294.6748467976</v>
      </c>
      <c r="N104" s="310">
        <v>903826.54861050704</v>
      </c>
    </row>
    <row r="105" spans="1:14" ht="15" customHeight="1" x14ac:dyDescent="0.35">
      <c r="A105" s="308">
        <v>0.06</v>
      </c>
      <c r="B105" s="310">
        <v>28759.808964751199</v>
      </c>
      <c r="C105" s="310">
        <v>90912.723229420269</v>
      </c>
      <c r="D105" s="310">
        <v>282134.77651108964</v>
      </c>
      <c r="E105" s="310">
        <v>330928.63262074906</v>
      </c>
      <c r="F105" s="310">
        <v>386870.49402945151</v>
      </c>
      <c r="G105" s="310">
        <v>492366.77354650485</v>
      </c>
      <c r="H105" s="310">
        <v>535533.74835450458</v>
      </c>
      <c r="I105" s="310">
        <v>567750.82036190177</v>
      </c>
      <c r="J105" s="310">
        <v>618673.97632032819</v>
      </c>
      <c r="K105" s="310">
        <v>704095.434036277</v>
      </c>
      <c r="L105" s="310">
        <v>755931.08189475373</v>
      </c>
      <c r="M105" s="310">
        <v>802291.77835292928</v>
      </c>
      <c r="N105" s="310">
        <v>870199.49952353968</v>
      </c>
    </row>
    <row r="106" spans="1:14" ht="15" customHeight="1" x14ac:dyDescent="0.35">
      <c r="A106" s="308">
        <v>7.0000000000000007E-2</v>
      </c>
      <c r="B106" s="310">
        <v>27699.654191043694</v>
      </c>
      <c r="C106" s="310">
        <v>87561.464615687917</v>
      </c>
      <c r="D106" s="310">
        <v>271734.61945463199</v>
      </c>
      <c r="E106" s="310">
        <v>318729.81829415256</v>
      </c>
      <c r="F106" s="310">
        <v>372609.5300030706</v>
      </c>
      <c r="G106" s="310">
        <v>474216.96643095522</v>
      </c>
      <c r="H106" s="310">
        <v>515792.70415997074</v>
      </c>
      <c r="I106" s="310">
        <v>546822.17847764131</v>
      </c>
      <c r="J106" s="310">
        <v>595868.18612302619</v>
      </c>
      <c r="K106" s="310">
        <v>678140.80629677814</v>
      </c>
      <c r="L106" s="310">
        <v>728065.669226442</v>
      </c>
      <c r="M106" s="310">
        <v>772717.40045043337</v>
      </c>
      <c r="N106" s="310">
        <v>838121.8819486642</v>
      </c>
    </row>
    <row r="107" spans="1:14" ht="15" customHeight="1" x14ac:dyDescent="0.35">
      <c r="A107" s="308">
        <v>0.08</v>
      </c>
      <c r="B107" s="310">
        <v>26687.902114251516</v>
      </c>
      <c r="C107" s="310">
        <v>84363.211920514135</v>
      </c>
      <c r="D107" s="310">
        <v>261809.29462301545</v>
      </c>
      <c r="E107" s="310">
        <v>307087.95614776621</v>
      </c>
      <c r="F107" s="310">
        <v>358999.66818988381</v>
      </c>
      <c r="G107" s="310">
        <v>456895.81154116819</v>
      </c>
      <c r="H107" s="310">
        <v>496952.96211738454</v>
      </c>
      <c r="I107" s="310">
        <v>526849.06000854273</v>
      </c>
      <c r="J107" s="310">
        <v>574103.62290334201</v>
      </c>
      <c r="K107" s="310">
        <v>653371.16966535291</v>
      </c>
      <c r="L107" s="310">
        <v>701472.48695057386</v>
      </c>
      <c r="M107" s="310">
        <v>744493.27789326571</v>
      </c>
      <c r="N107" s="310">
        <v>807508.80826846242</v>
      </c>
    </row>
    <row r="108" spans="1:14" ht="15" customHeight="1" x14ac:dyDescent="0.35">
      <c r="A108" s="308">
        <v>0.09</v>
      </c>
      <c r="B108" s="310">
        <v>25721.924920798483</v>
      </c>
      <c r="C108" s="310">
        <v>81309.658354078361</v>
      </c>
      <c r="D108" s="310">
        <v>252333.0230690664</v>
      </c>
      <c r="E108" s="310">
        <v>295972.80888917227</v>
      </c>
      <c r="F108" s="310">
        <v>346005.55983157083</v>
      </c>
      <c r="G108" s="310">
        <v>440358.32081433811</v>
      </c>
      <c r="H108" s="310">
        <v>478965.5899526772</v>
      </c>
      <c r="I108" s="310">
        <v>507779.58897325105</v>
      </c>
      <c r="J108" s="310">
        <v>553323.7577783406</v>
      </c>
      <c r="K108" s="310">
        <v>629722.19021187129</v>
      </c>
      <c r="L108" s="310">
        <v>676082.4648601081</v>
      </c>
      <c r="M108" s="310">
        <v>717546.10444946226</v>
      </c>
      <c r="N108" s="310">
        <v>778280.76745204965</v>
      </c>
    </row>
    <row r="109" spans="1:14" ht="15" customHeight="1" x14ac:dyDescent="0.35">
      <c r="A109" s="308">
        <v>0.1</v>
      </c>
      <c r="B109" s="310">
        <v>24799.259744552859</v>
      </c>
      <c r="C109" s="310">
        <v>78393.018542449208</v>
      </c>
      <c r="D109" s="310">
        <v>243281.64398606642</v>
      </c>
      <c r="E109" s="310">
        <v>285356.03721603722</v>
      </c>
      <c r="F109" s="310">
        <v>333594.07500580564</v>
      </c>
      <c r="G109" s="310">
        <v>424562.33008127852</v>
      </c>
      <c r="H109" s="310">
        <v>461784.72686291911</v>
      </c>
      <c r="I109" s="310">
        <v>489565.145637593</v>
      </c>
      <c r="J109" s="310">
        <v>533475.61017416837</v>
      </c>
      <c r="K109" s="310">
        <v>607133.57223686867</v>
      </c>
      <c r="L109" s="310">
        <v>651830.8682740248</v>
      </c>
      <c r="M109" s="310">
        <v>691807.1753076975</v>
      </c>
      <c r="N109" s="310">
        <v>750363.23936343135</v>
      </c>
    </row>
    <row r="112" spans="1:14" ht="15" customHeight="1" x14ac:dyDescent="0.35">
      <c r="A112" s="138" t="s">
        <v>427</v>
      </c>
    </row>
    <row r="113" spans="1:21" ht="15" customHeight="1" x14ac:dyDescent="0.35">
      <c r="A113" s="262" t="s">
        <v>10</v>
      </c>
      <c r="B113" s="262" t="s">
        <v>424</v>
      </c>
      <c r="C113" s="262" t="s">
        <v>425</v>
      </c>
    </row>
    <row r="114" spans="1:21" ht="15" customHeight="1" x14ac:dyDescent="0.35">
      <c r="A114" s="41" t="s">
        <v>103</v>
      </c>
      <c r="B114" s="265">
        <v>32259.717444592774</v>
      </c>
      <c r="C114" s="265">
        <v>36308.596191999852</v>
      </c>
      <c r="H114" s="84"/>
    </row>
    <row r="115" spans="1:21" ht="15" customHeight="1" x14ac:dyDescent="0.35">
      <c r="A115" s="41" t="s">
        <v>104</v>
      </c>
      <c r="B115" s="265">
        <v>101976.29501274177</v>
      </c>
      <c r="C115" s="265">
        <v>114775.21844799991</v>
      </c>
      <c r="H115" s="308"/>
      <c r="I115" s="99"/>
      <c r="J115" s="99"/>
      <c r="K115" s="99"/>
      <c r="L115" s="99"/>
      <c r="M115" s="99"/>
      <c r="N115" s="99"/>
      <c r="O115" s="99"/>
      <c r="P115" s="99"/>
      <c r="Q115" s="99"/>
      <c r="R115" s="99"/>
      <c r="S115" s="99"/>
      <c r="T115" s="99"/>
      <c r="U115" s="99"/>
    </row>
    <row r="116" spans="1:21" ht="15" customHeight="1" x14ac:dyDescent="0.35">
      <c r="A116" s="41" t="s">
        <v>11</v>
      </c>
      <c r="B116" s="265">
        <v>316469.00654647028</v>
      </c>
      <c r="C116" s="265">
        <v>356188.65495999996</v>
      </c>
      <c r="H116" s="308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  <c r="U116" s="99"/>
    </row>
    <row r="117" spans="1:21" ht="15" customHeight="1" x14ac:dyDescent="0.35">
      <c r="A117" s="41" t="s">
        <v>105</v>
      </c>
      <c r="B117" s="265">
        <v>371200.8030288099</v>
      </c>
      <c r="C117" s="265">
        <v>417789.77408800018</v>
      </c>
      <c r="H117" s="308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  <c r="U117" s="99"/>
    </row>
    <row r="118" spans="1:21" ht="15" customHeight="1" x14ac:dyDescent="0.35">
      <c r="A118" s="41" t="s">
        <v>106</v>
      </c>
      <c r="B118" s="265">
        <v>433950.47722105368</v>
      </c>
      <c r="C118" s="265">
        <v>488415.08521600021</v>
      </c>
      <c r="H118" s="308"/>
      <c r="I118" s="99"/>
      <c r="J118" s="99"/>
      <c r="K118" s="99"/>
      <c r="L118" s="99"/>
      <c r="M118" s="99"/>
      <c r="N118" s="99"/>
      <c r="O118" s="99"/>
      <c r="P118" s="99"/>
      <c r="Q118" s="99"/>
      <c r="R118" s="99"/>
      <c r="S118" s="99"/>
      <c r="T118" s="99"/>
      <c r="U118" s="99"/>
    </row>
    <row r="119" spans="1:21" ht="15" customHeight="1" x14ac:dyDescent="0.35">
      <c r="A119" s="309" t="s">
        <v>107</v>
      </c>
      <c r="B119" s="265">
        <v>552285.06605114904</v>
      </c>
      <c r="C119" s="265">
        <v>621601.70747200004</v>
      </c>
      <c r="H119" s="308"/>
      <c r="I119" s="99"/>
      <c r="J119" s="99"/>
      <c r="K119" s="99"/>
      <c r="L119" s="99"/>
      <c r="M119" s="99"/>
      <c r="N119" s="99"/>
      <c r="O119" s="99"/>
      <c r="P119" s="99"/>
      <c r="Q119" s="99"/>
      <c r="R119" s="99"/>
      <c r="S119" s="99"/>
      <c r="T119" s="99"/>
      <c r="U119" s="99"/>
    </row>
    <row r="120" spans="1:21" ht="15" customHeight="1" x14ac:dyDescent="0.35">
      <c r="A120" s="41" t="s">
        <v>108</v>
      </c>
      <c r="B120" s="265">
        <v>600705.2211346085</v>
      </c>
      <c r="C120" s="265">
        <v>676099.01860000007</v>
      </c>
      <c r="H120" s="308"/>
      <c r="I120" s="99"/>
      <c r="J120" s="99"/>
      <c r="K120" s="99"/>
      <c r="L120" s="99"/>
      <c r="M120" s="99"/>
      <c r="N120" s="99"/>
      <c r="O120" s="99"/>
      <c r="P120" s="99"/>
      <c r="Q120" s="99"/>
      <c r="R120" s="99"/>
      <c r="S120" s="99"/>
      <c r="T120" s="99"/>
      <c r="U120" s="99"/>
    </row>
    <row r="121" spans="1:21" ht="15" customHeight="1" x14ac:dyDescent="0.35">
      <c r="A121" s="41" t="s">
        <v>109</v>
      </c>
      <c r="B121" s="265">
        <v>636842.93126768165</v>
      </c>
      <c r="C121" s="265">
        <v>716772.3297280001</v>
      </c>
      <c r="H121" s="308"/>
      <c r="I121" s="99"/>
      <c r="J121" s="99"/>
      <c r="K121" s="99"/>
      <c r="L121" s="99"/>
      <c r="M121" s="99"/>
      <c r="N121" s="99"/>
      <c r="O121" s="99"/>
      <c r="P121" s="99"/>
      <c r="Q121" s="99"/>
      <c r="R121" s="99"/>
      <c r="S121" s="99"/>
      <c r="T121" s="99"/>
      <c r="U121" s="99"/>
    </row>
    <row r="122" spans="1:21" ht="15" customHeight="1" x14ac:dyDescent="0.35">
      <c r="A122" s="41" t="s">
        <v>110</v>
      </c>
      <c r="B122" s="265">
        <v>693963.15152433165</v>
      </c>
      <c r="C122" s="265">
        <v>781061.64085600013</v>
      </c>
      <c r="H122" s="308"/>
      <c r="I122" s="99"/>
      <c r="J122" s="99"/>
      <c r="K122" s="99"/>
      <c r="L122" s="99"/>
      <c r="M122" s="99"/>
      <c r="N122" s="99"/>
      <c r="O122" s="99"/>
      <c r="P122" s="99"/>
      <c r="Q122" s="99"/>
      <c r="R122" s="99"/>
      <c r="S122" s="99"/>
      <c r="T122" s="99"/>
      <c r="U122" s="99"/>
    </row>
    <row r="123" spans="1:21" ht="15" customHeight="1" x14ac:dyDescent="0.35">
      <c r="A123" s="41" t="s">
        <v>111</v>
      </c>
      <c r="B123" s="265">
        <v>789779.92461205146</v>
      </c>
      <c r="C123" s="265">
        <v>888904.26311199972</v>
      </c>
    </row>
    <row r="124" spans="1:21" ht="15" customHeight="1" x14ac:dyDescent="0.35">
      <c r="A124" s="141" t="s">
        <v>112</v>
      </c>
      <c r="B124" s="265">
        <v>847923.68194790056</v>
      </c>
      <c r="C124" s="265">
        <v>954345.57423999999</v>
      </c>
    </row>
    <row r="125" spans="1:21" ht="15" customHeight="1" x14ac:dyDescent="0.35">
      <c r="A125" s="41" t="s">
        <v>113</v>
      </c>
      <c r="B125" s="265">
        <v>899926.21680855646</v>
      </c>
      <c r="C125" s="265">
        <v>1012874.8853680003</v>
      </c>
    </row>
    <row r="126" spans="1:21" ht="15" customHeight="1" x14ac:dyDescent="0.35">
      <c r="A126" s="41" t="s">
        <v>114</v>
      </c>
      <c r="B126" s="265">
        <v>976097.92921301094</v>
      </c>
      <c r="C126" s="265">
        <v>1098606.8187520001</v>
      </c>
    </row>
  </sheetData>
  <mergeCells count="2">
    <mergeCell ref="A27:A31"/>
    <mergeCell ref="A32:A34"/>
  </mergeCells>
  <conditionalFormatting sqref="B23">
    <cfRule type="cellIs" dxfId="2" priority="2" operator="lessThan">
      <formula>150000</formula>
    </cfRule>
    <cfRule type="cellIs" dxfId="1" priority="1" operator="greaterThan">
      <formula>150000</formula>
    </cfRule>
  </conditionalFormatting>
  <dataValidations count="1">
    <dataValidation type="list" allowBlank="1" showInputMessage="1" showErrorMessage="1" sqref="D56 B14" xr:uid="{A6245681-7DDB-4546-AA80-AA880C8CA4C8}">
      <formula1>$A$56:$A$68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Spinner 3">
              <controlPr defaultSize="0" autoPict="0">
                <anchor moveWithCells="1" sizeWithCells="1">
                  <from>
                    <xdr:col>1</xdr:col>
                    <xdr:colOff>2768600</xdr:colOff>
                    <xdr:row>14</xdr:row>
                    <xdr:rowOff>6350</xdr:rowOff>
                  </from>
                  <to>
                    <xdr:col>1</xdr:col>
                    <xdr:colOff>3111500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Spinner 4">
              <controlPr defaultSize="0" autoPict="0">
                <anchor moveWithCells="1" sizeWithCells="1">
                  <from>
                    <xdr:col>1</xdr:col>
                    <xdr:colOff>2768600</xdr:colOff>
                    <xdr:row>14</xdr:row>
                    <xdr:rowOff>6350</xdr:rowOff>
                  </from>
                  <to>
                    <xdr:col>1</xdr:col>
                    <xdr:colOff>3111500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48FA-E788-41C2-9A87-5382A1421C13}">
  <dimension ref="A1:M264"/>
  <sheetViews>
    <sheetView topLeftCell="A75" workbookViewId="0">
      <selection activeCell="J8" sqref="J8:M13"/>
    </sheetView>
  </sheetViews>
  <sheetFormatPr defaultRowHeight="14.5" x14ac:dyDescent="0.35"/>
  <cols>
    <col min="1" max="1" width="11.7265625" customWidth="1"/>
    <col min="2" max="2" width="23.54296875" customWidth="1"/>
    <col min="3" max="3" width="16.7265625" customWidth="1"/>
    <col min="7" max="7" width="11.26953125" customWidth="1"/>
    <col min="8" max="8" width="11.453125" customWidth="1"/>
    <col min="9" max="9" width="21.7265625" customWidth="1"/>
    <col min="10" max="10" width="17.453125" customWidth="1"/>
    <col min="11" max="11" width="20.7265625" customWidth="1"/>
    <col min="13" max="13" width="21.26953125" customWidth="1"/>
  </cols>
  <sheetData>
    <row r="1" spans="1:13" ht="15" thickBot="1" x14ac:dyDescent="0.4">
      <c r="A1" s="157" t="s">
        <v>34</v>
      </c>
      <c r="B1" s="157" t="s">
        <v>41</v>
      </c>
      <c r="C1" s="94"/>
      <c r="D1" s="94"/>
      <c r="E1" s="94"/>
      <c r="F1" s="147"/>
      <c r="G1" s="94"/>
      <c r="H1" s="94"/>
      <c r="I1" s="94"/>
    </row>
    <row r="2" spans="1:13" x14ac:dyDescent="0.35">
      <c r="A2" s="148" t="s">
        <v>428</v>
      </c>
      <c r="B2" s="149" t="s">
        <v>34</v>
      </c>
      <c r="C2" s="149" t="s">
        <v>429</v>
      </c>
      <c r="D2" s="149" t="s">
        <v>430</v>
      </c>
      <c r="E2" s="149" t="s">
        <v>431</v>
      </c>
      <c r="F2" s="149" t="s">
        <v>432</v>
      </c>
      <c r="G2" s="149" t="s">
        <v>433</v>
      </c>
      <c r="H2" s="150" t="s">
        <v>434</v>
      </c>
      <c r="I2" s="151" t="s">
        <v>435</v>
      </c>
      <c r="K2" s="161" t="s">
        <v>436</v>
      </c>
      <c r="M2" s="548" t="s">
        <v>437</v>
      </c>
    </row>
    <row r="3" spans="1:13" x14ac:dyDescent="0.35">
      <c r="A3" s="94">
        <v>2021</v>
      </c>
      <c r="B3" s="152" t="s">
        <v>41</v>
      </c>
      <c r="C3" s="153">
        <v>44256</v>
      </c>
      <c r="D3" s="152" t="s">
        <v>438</v>
      </c>
      <c r="E3" s="152" t="s">
        <v>439</v>
      </c>
      <c r="F3" s="152">
        <v>250</v>
      </c>
      <c r="G3" s="152">
        <v>7</v>
      </c>
      <c r="H3" s="94">
        <v>10</v>
      </c>
      <c r="I3" s="154">
        <f t="shared" ref="I3:I20" si="0">G3/H3</f>
        <v>0.7</v>
      </c>
    </row>
    <row r="4" spans="1:13" x14ac:dyDescent="0.35">
      <c r="A4" s="94">
        <v>2021</v>
      </c>
      <c r="B4" s="152" t="s">
        <v>41</v>
      </c>
      <c r="C4" s="153">
        <v>44256</v>
      </c>
      <c r="D4" s="152" t="s">
        <v>440</v>
      </c>
      <c r="E4" s="152" t="s">
        <v>439</v>
      </c>
      <c r="F4" s="152">
        <v>250</v>
      </c>
      <c r="G4" s="152">
        <v>7</v>
      </c>
      <c r="H4" s="94">
        <v>10</v>
      </c>
      <c r="I4" s="154">
        <f t="shared" si="0"/>
        <v>0.7</v>
      </c>
    </row>
    <row r="5" spans="1:13" x14ac:dyDescent="0.35">
      <c r="A5" s="94">
        <v>2021</v>
      </c>
      <c r="B5" s="152" t="s">
        <v>41</v>
      </c>
      <c r="C5" s="153">
        <v>44256</v>
      </c>
      <c r="D5" s="152" t="s">
        <v>440</v>
      </c>
      <c r="E5" s="152" t="s">
        <v>439</v>
      </c>
      <c r="F5" s="152">
        <v>250</v>
      </c>
      <c r="G5" s="152">
        <v>5</v>
      </c>
      <c r="H5" s="94">
        <v>10</v>
      </c>
      <c r="I5" s="154">
        <f t="shared" si="0"/>
        <v>0.5</v>
      </c>
    </row>
    <row r="6" spans="1:13" x14ac:dyDescent="0.35">
      <c r="A6" s="94">
        <v>2021</v>
      </c>
      <c r="B6" s="152" t="s">
        <v>41</v>
      </c>
      <c r="C6" s="153">
        <v>44256</v>
      </c>
      <c r="D6" s="152" t="s">
        <v>441</v>
      </c>
      <c r="E6" s="152" t="s">
        <v>439</v>
      </c>
      <c r="F6" s="152">
        <v>250</v>
      </c>
      <c r="G6" s="152">
        <v>10</v>
      </c>
      <c r="H6" s="94">
        <v>10</v>
      </c>
      <c r="I6" s="154">
        <f t="shared" si="0"/>
        <v>1</v>
      </c>
    </row>
    <row r="7" spans="1:13" x14ac:dyDescent="0.35">
      <c r="A7" s="94">
        <v>2021</v>
      </c>
      <c r="B7" s="94" t="s">
        <v>41</v>
      </c>
      <c r="C7" s="155">
        <v>44388</v>
      </c>
      <c r="D7" s="152" t="s">
        <v>438</v>
      </c>
      <c r="E7" s="152" t="s">
        <v>439</v>
      </c>
      <c r="F7" s="152">
        <v>250</v>
      </c>
      <c r="G7" s="152">
        <v>5</v>
      </c>
      <c r="H7" s="94">
        <v>10</v>
      </c>
      <c r="I7" s="154">
        <f t="shared" si="0"/>
        <v>0.5</v>
      </c>
    </row>
    <row r="8" spans="1:13" x14ac:dyDescent="0.35">
      <c r="A8" s="94">
        <v>2021</v>
      </c>
      <c r="B8" s="94" t="s">
        <v>41</v>
      </c>
      <c r="C8" s="155">
        <v>44388</v>
      </c>
      <c r="D8" s="152" t="s">
        <v>440</v>
      </c>
      <c r="E8" s="152" t="s">
        <v>439</v>
      </c>
      <c r="F8" s="152">
        <v>250</v>
      </c>
      <c r="G8" s="152">
        <v>8</v>
      </c>
      <c r="H8" s="94">
        <v>10</v>
      </c>
      <c r="I8" s="154">
        <f t="shared" si="0"/>
        <v>0.8</v>
      </c>
    </row>
    <row r="9" spans="1:13" x14ac:dyDescent="0.35">
      <c r="A9" s="94">
        <v>2021</v>
      </c>
      <c r="B9" s="94" t="s">
        <v>41</v>
      </c>
      <c r="C9" s="155">
        <v>44388</v>
      </c>
      <c r="D9" s="152" t="s">
        <v>441</v>
      </c>
      <c r="E9" s="152" t="s">
        <v>439</v>
      </c>
      <c r="F9" s="152">
        <v>250</v>
      </c>
      <c r="G9" s="152">
        <v>8</v>
      </c>
      <c r="H9" s="94">
        <v>10</v>
      </c>
      <c r="I9" s="154">
        <f t="shared" si="0"/>
        <v>0.8</v>
      </c>
    </row>
    <row r="10" spans="1:13" x14ac:dyDescent="0.35">
      <c r="A10" s="94">
        <v>2021</v>
      </c>
      <c r="B10" s="94" t="s">
        <v>41</v>
      </c>
      <c r="C10" s="155">
        <v>44438</v>
      </c>
      <c r="D10" s="152" t="s">
        <v>440</v>
      </c>
      <c r="E10" s="152" t="s">
        <v>439</v>
      </c>
      <c r="F10" s="152">
        <v>260</v>
      </c>
      <c r="G10" s="152">
        <v>7</v>
      </c>
      <c r="H10" s="94">
        <v>10</v>
      </c>
      <c r="I10" s="154">
        <f t="shared" si="0"/>
        <v>0.7</v>
      </c>
      <c r="J10" s="182" t="s">
        <v>138</v>
      </c>
      <c r="K10" s="199">
        <f>AVERAGE(I3:I20)</f>
        <v>0.72222222222222232</v>
      </c>
    </row>
    <row r="11" spans="1:13" x14ac:dyDescent="0.35">
      <c r="A11" s="94">
        <v>2021</v>
      </c>
      <c r="B11" s="94" t="s">
        <v>41</v>
      </c>
      <c r="C11" s="155">
        <v>44494</v>
      </c>
      <c r="D11" s="152" t="s">
        <v>440</v>
      </c>
      <c r="E11" s="152" t="s">
        <v>439</v>
      </c>
      <c r="F11" s="152">
        <v>260</v>
      </c>
      <c r="G11" s="152">
        <v>7</v>
      </c>
      <c r="H11" s="94">
        <v>10</v>
      </c>
      <c r="I11" s="154">
        <f t="shared" si="0"/>
        <v>0.7</v>
      </c>
      <c r="J11" s="182" t="s">
        <v>442</v>
      </c>
      <c r="K11" s="182">
        <f>MODE(G3:G20)</f>
        <v>7</v>
      </c>
    </row>
    <row r="12" spans="1:13" x14ac:dyDescent="0.35">
      <c r="A12" s="94">
        <v>2021</v>
      </c>
      <c r="B12" s="152" t="s">
        <v>41</v>
      </c>
      <c r="C12" s="153">
        <v>44256</v>
      </c>
      <c r="D12" s="152" t="s">
        <v>438</v>
      </c>
      <c r="E12" s="152" t="s">
        <v>443</v>
      </c>
      <c r="F12" s="152">
        <v>250</v>
      </c>
      <c r="G12" s="152">
        <v>5</v>
      </c>
      <c r="H12" s="94">
        <v>10</v>
      </c>
      <c r="I12" s="154">
        <f t="shared" si="0"/>
        <v>0.5</v>
      </c>
      <c r="J12" s="182" t="s">
        <v>444</v>
      </c>
      <c r="K12" s="182">
        <f>COUNT(C3:C20)</f>
        <v>18</v>
      </c>
    </row>
    <row r="13" spans="1:13" x14ac:dyDescent="0.35">
      <c r="A13" s="94">
        <v>2021</v>
      </c>
      <c r="B13" s="94" t="s">
        <v>41</v>
      </c>
      <c r="C13" s="155">
        <v>44388</v>
      </c>
      <c r="D13" s="152" t="s">
        <v>445</v>
      </c>
      <c r="E13" s="152" t="s">
        <v>443</v>
      </c>
      <c r="F13" s="152">
        <v>250</v>
      </c>
      <c r="G13" s="152">
        <v>9</v>
      </c>
      <c r="H13" s="94">
        <v>10</v>
      </c>
      <c r="I13" s="154">
        <f t="shared" si="0"/>
        <v>0.9</v>
      </c>
    </row>
    <row r="14" spans="1:13" x14ac:dyDescent="0.35">
      <c r="A14" s="94">
        <v>2021</v>
      </c>
      <c r="B14" s="94" t="s">
        <v>41</v>
      </c>
      <c r="C14" s="155">
        <v>44388</v>
      </c>
      <c r="D14" s="152" t="s">
        <v>441</v>
      </c>
      <c r="E14" s="152" t="s">
        <v>443</v>
      </c>
      <c r="F14" s="152">
        <v>250</v>
      </c>
      <c r="G14" s="152">
        <v>11</v>
      </c>
      <c r="H14" s="94">
        <v>11</v>
      </c>
      <c r="I14" s="154">
        <f t="shared" si="0"/>
        <v>1</v>
      </c>
      <c r="J14" s="200"/>
    </row>
    <row r="15" spans="1:13" x14ac:dyDescent="0.35">
      <c r="A15" s="94">
        <v>2021</v>
      </c>
      <c r="B15" s="94" t="s">
        <v>41</v>
      </c>
      <c r="C15" s="155">
        <v>44494</v>
      </c>
      <c r="D15" s="152" t="s">
        <v>446</v>
      </c>
      <c r="E15" s="152" t="s">
        <v>443</v>
      </c>
      <c r="F15" s="152">
        <v>260</v>
      </c>
      <c r="G15" s="152">
        <v>5</v>
      </c>
      <c r="H15" s="94">
        <v>10</v>
      </c>
      <c r="I15" s="154">
        <f t="shared" si="0"/>
        <v>0.5</v>
      </c>
    </row>
    <row r="16" spans="1:13" x14ac:dyDescent="0.35">
      <c r="A16" s="94">
        <v>2021</v>
      </c>
      <c r="B16" s="94" t="s">
        <v>41</v>
      </c>
      <c r="C16" s="155">
        <v>44494</v>
      </c>
      <c r="D16" s="152" t="s">
        <v>438</v>
      </c>
      <c r="E16" s="152" t="s">
        <v>443</v>
      </c>
      <c r="F16" s="152">
        <v>260</v>
      </c>
      <c r="G16" s="152">
        <v>9</v>
      </c>
      <c r="H16" s="94">
        <v>10</v>
      </c>
      <c r="I16" s="154">
        <f t="shared" si="0"/>
        <v>0.9</v>
      </c>
    </row>
    <row r="17" spans="1:11" x14ac:dyDescent="0.35">
      <c r="A17" s="94">
        <v>2021</v>
      </c>
      <c r="B17" s="94" t="s">
        <v>41</v>
      </c>
      <c r="C17" s="155">
        <v>44388</v>
      </c>
      <c r="D17" s="152" t="s">
        <v>440</v>
      </c>
      <c r="E17" s="152" t="s">
        <v>447</v>
      </c>
      <c r="F17" s="152">
        <v>250</v>
      </c>
      <c r="G17" s="152">
        <v>8</v>
      </c>
      <c r="H17" s="94">
        <v>10</v>
      </c>
      <c r="I17" s="154">
        <f t="shared" si="0"/>
        <v>0.8</v>
      </c>
    </row>
    <row r="18" spans="1:11" x14ac:dyDescent="0.35">
      <c r="A18" s="94">
        <v>2021</v>
      </c>
      <c r="B18" s="94" t="s">
        <v>41</v>
      </c>
      <c r="C18" s="155">
        <v>44494</v>
      </c>
      <c r="D18" s="152" t="s">
        <v>440</v>
      </c>
      <c r="E18" s="152" t="s">
        <v>447</v>
      </c>
      <c r="F18" s="152">
        <v>260</v>
      </c>
      <c r="G18" s="152">
        <v>9</v>
      </c>
      <c r="H18" s="94">
        <v>10</v>
      </c>
      <c r="I18" s="154">
        <f t="shared" si="0"/>
        <v>0.9</v>
      </c>
    </row>
    <row r="19" spans="1:11" x14ac:dyDescent="0.35">
      <c r="A19" s="94">
        <v>2021</v>
      </c>
      <c r="B19" s="94" t="s">
        <v>41</v>
      </c>
      <c r="C19" s="155">
        <v>44438</v>
      </c>
      <c r="D19" s="152" t="s">
        <v>440</v>
      </c>
      <c r="E19" s="152" t="s">
        <v>439</v>
      </c>
      <c r="F19" s="152">
        <v>260</v>
      </c>
      <c r="G19" s="152">
        <v>4</v>
      </c>
      <c r="H19" s="94">
        <v>10</v>
      </c>
      <c r="I19" s="154">
        <f t="shared" si="0"/>
        <v>0.4</v>
      </c>
    </row>
    <row r="20" spans="1:11" x14ac:dyDescent="0.35">
      <c r="A20" s="94">
        <v>2021</v>
      </c>
      <c r="B20" s="94" t="s">
        <v>41</v>
      </c>
      <c r="C20" s="155">
        <v>44494</v>
      </c>
      <c r="D20" s="152" t="s">
        <v>440</v>
      </c>
      <c r="E20" s="152" t="s">
        <v>439</v>
      </c>
      <c r="F20" s="152">
        <v>260</v>
      </c>
      <c r="G20" s="152">
        <v>7</v>
      </c>
      <c r="H20" s="94">
        <v>10</v>
      </c>
      <c r="I20" s="154">
        <f t="shared" si="0"/>
        <v>0.7</v>
      </c>
    </row>
    <row r="21" spans="1:11" x14ac:dyDescent="0.35">
      <c r="A21" s="94"/>
      <c r="B21" s="94"/>
      <c r="C21" s="94"/>
      <c r="D21" s="94"/>
      <c r="E21" s="94"/>
      <c r="F21" s="94"/>
      <c r="G21" s="94"/>
      <c r="H21" s="94"/>
      <c r="I21" s="94"/>
    </row>
    <row r="22" spans="1:11" x14ac:dyDescent="0.35">
      <c r="A22" s="94">
        <v>2022</v>
      </c>
      <c r="B22" s="94" t="s">
        <v>41</v>
      </c>
      <c r="C22" s="155">
        <v>44564</v>
      </c>
      <c r="D22" s="152" t="s">
        <v>440</v>
      </c>
      <c r="E22" s="152" t="s">
        <v>439</v>
      </c>
      <c r="F22" s="152">
        <v>260</v>
      </c>
      <c r="G22" s="152">
        <v>8</v>
      </c>
      <c r="H22" s="94">
        <v>10</v>
      </c>
      <c r="I22" s="156">
        <f t="shared" ref="I22:I37" si="1">G22/H22</f>
        <v>0.8</v>
      </c>
    </row>
    <row r="23" spans="1:11" x14ac:dyDescent="0.35">
      <c r="A23" s="94">
        <v>2022</v>
      </c>
      <c r="B23" s="94" t="s">
        <v>41</v>
      </c>
      <c r="C23" s="155">
        <v>44564</v>
      </c>
      <c r="D23" s="152" t="s">
        <v>448</v>
      </c>
      <c r="E23" s="152" t="s">
        <v>443</v>
      </c>
      <c r="F23" s="152">
        <v>260</v>
      </c>
      <c r="G23" s="152">
        <v>8</v>
      </c>
      <c r="H23" s="94">
        <v>10</v>
      </c>
      <c r="I23" s="156">
        <f t="shared" si="1"/>
        <v>0.8</v>
      </c>
    </row>
    <row r="24" spans="1:11" x14ac:dyDescent="0.35">
      <c r="A24" s="94">
        <v>2022</v>
      </c>
      <c r="B24" s="94" t="s">
        <v>41</v>
      </c>
      <c r="C24" s="155">
        <v>44564</v>
      </c>
      <c r="D24" s="152" t="s">
        <v>438</v>
      </c>
      <c r="E24" s="152" t="s">
        <v>443</v>
      </c>
      <c r="F24" s="152">
        <v>260</v>
      </c>
      <c r="G24" s="152">
        <v>8</v>
      </c>
      <c r="H24" s="94">
        <v>10</v>
      </c>
      <c r="I24" s="156">
        <f t="shared" si="1"/>
        <v>0.8</v>
      </c>
    </row>
    <row r="25" spans="1:11" x14ac:dyDescent="0.35">
      <c r="A25" s="94">
        <v>2022</v>
      </c>
      <c r="B25" s="94" t="s">
        <v>41</v>
      </c>
      <c r="C25" s="155">
        <v>44683</v>
      </c>
      <c r="D25" s="152" t="s">
        <v>448</v>
      </c>
      <c r="E25" s="152" t="s">
        <v>443</v>
      </c>
      <c r="F25" s="152">
        <v>260</v>
      </c>
      <c r="G25" s="152">
        <v>6</v>
      </c>
      <c r="H25" s="94">
        <v>10</v>
      </c>
      <c r="I25" s="156">
        <f t="shared" si="1"/>
        <v>0.6</v>
      </c>
    </row>
    <row r="26" spans="1:11" x14ac:dyDescent="0.35">
      <c r="A26" s="94">
        <v>2022</v>
      </c>
      <c r="B26" s="94" t="s">
        <v>41</v>
      </c>
      <c r="C26" s="155">
        <v>44683</v>
      </c>
      <c r="D26" s="152" t="s">
        <v>446</v>
      </c>
      <c r="E26" s="152" t="s">
        <v>443</v>
      </c>
      <c r="F26" s="152">
        <v>220</v>
      </c>
      <c r="G26" s="152">
        <v>5</v>
      </c>
      <c r="H26" s="94">
        <v>10</v>
      </c>
      <c r="I26" s="156">
        <f t="shared" si="1"/>
        <v>0.5</v>
      </c>
    </row>
    <row r="27" spans="1:11" x14ac:dyDescent="0.35">
      <c r="A27" s="94">
        <v>2022</v>
      </c>
      <c r="B27" s="94" t="s">
        <v>41</v>
      </c>
      <c r="C27" s="155">
        <v>44683</v>
      </c>
      <c r="D27" s="152" t="s">
        <v>438</v>
      </c>
      <c r="E27" s="152" t="s">
        <v>443</v>
      </c>
      <c r="F27" s="152">
        <v>260</v>
      </c>
      <c r="G27" s="152">
        <v>5</v>
      </c>
      <c r="H27" s="94">
        <v>10</v>
      </c>
      <c r="I27" s="156">
        <f t="shared" si="1"/>
        <v>0.5</v>
      </c>
    </row>
    <row r="28" spans="1:11" x14ac:dyDescent="0.35">
      <c r="A28" s="94">
        <v>2022</v>
      </c>
      <c r="B28" s="94" t="s">
        <v>41</v>
      </c>
      <c r="C28" s="155">
        <v>44746</v>
      </c>
      <c r="D28" s="152" t="s">
        <v>438</v>
      </c>
      <c r="E28" s="152" t="s">
        <v>443</v>
      </c>
      <c r="F28" s="152">
        <v>260</v>
      </c>
      <c r="G28" s="152">
        <v>5</v>
      </c>
      <c r="H28" s="94">
        <v>10</v>
      </c>
      <c r="I28" s="156">
        <f t="shared" si="1"/>
        <v>0.5</v>
      </c>
      <c r="J28" t="s">
        <v>137</v>
      </c>
      <c r="K28" s="160">
        <f>AVERAGE(I22:I37)</f>
        <v>0.70624999999999993</v>
      </c>
    </row>
    <row r="29" spans="1:11" x14ac:dyDescent="0.35">
      <c r="A29" s="94">
        <v>2022</v>
      </c>
      <c r="B29" s="94" t="s">
        <v>41</v>
      </c>
      <c r="C29" s="155">
        <v>44802</v>
      </c>
      <c r="D29" s="152" t="s">
        <v>448</v>
      </c>
      <c r="E29" s="152" t="s">
        <v>443</v>
      </c>
      <c r="F29" s="152">
        <v>260</v>
      </c>
      <c r="G29" s="152">
        <v>10</v>
      </c>
      <c r="H29" s="94">
        <v>10</v>
      </c>
      <c r="I29" s="156">
        <f t="shared" si="1"/>
        <v>1</v>
      </c>
      <c r="J29" t="s">
        <v>442</v>
      </c>
      <c r="K29">
        <f>MODE(G22:G37)</f>
        <v>5</v>
      </c>
    </row>
    <row r="30" spans="1:11" x14ac:dyDescent="0.35">
      <c r="A30" s="94">
        <v>2022</v>
      </c>
      <c r="B30" s="94" t="s">
        <v>41</v>
      </c>
      <c r="C30" s="155">
        <v>44802</v>
      </c>
      <c r="D30" s="152" t="s">
        <v>448</v>
      </c>
      <c r="E30" s="152" t="s">
        <v>443</v>
      </c>
      <c r="F30" s="152">
        <v>260</v>
      </c>
      <c r="G30" s="152">
        <v>8</v>
      </c>
      <c r="H30" s="94">
        <v>10</v>
      </c>
      <c r="I30" s="156">
        <f t="shared" si="1"/>
        <v>0.8</v>
      </c>
      <c r="J30" t="s">
        <v>444</v>
      </c>
      <c r="K30">
        <f>COUNT(I22:I37)</f>
        <v>16</v>
      </c>
    </row>
    <row r="31" spans="1:11" x14ac:dyDescent="0.35">
      <c r="A31" s="94">
        <v>2022</v>
      </c>
      <c r="B31" s="94" t="s">
        <v>41</v>
      </c>
      <c r="C31" s="155">
        <v>44802</v>
      </c>
      <c r="D31" s="152" t="s">
        <v>449</v>
      </c>
      <c r="E31" s="152" t="s">
        <v>443</v>
      </c>
      <c r="F31" s="152">
        <v>260</v>
      </c>
      <c r="G31" s="152">
        <v>9</v>
      </c>
      <c r="H31" s="94">
        <v>10</v>
      </c>
      <c r="I31" s="156">
        <f t="shared" si="1"/>
        <v>0.9</v>
      </c>
    </row>
    <row r="32" spans="1:11" x14ac:dyDescent="0.35">
      <c r="A32" s="94">
        <v>2022</v>
      </c>
      <c r="B32" s="94" t="s">
        <v>41</v>
      </c>
      <c r="C32" s="155">
        <v>44802</v>
      </c>
      <c r="D32" s="152" t="s">
        <v>446</v>
      </c>
      <c r="E32" s="152" t="s">
        <v>443</v>
      </c>
      <c r="F32" s="152">
        <v>260</v>
      </c>
      <c r="G32" s="152">
        <v>10</v>
      </c>
      <c r="H32" s="94">
        <v>10</v>
      </c>
      <c r="I32" s="156">
        <f t="shared" si="1"/>
        <v>1</v>
      </c>
    </row>
    <row r="33" spans="1:11" x14ac:dyDescent="0.35">
      <c r="A33" s="94">
        <v>2022</v>
      </c>
      <c r="B33" s="94" t="s">
        <v>41</v>
      </c>
      <c r="C33" s="155">
        <v>44858</v>
      </c>
      <c r="D33" s="152" t="s">
        <v>448</v>
      </c>
      <c r="E33" s="152" t="s">
        <v>443</v>
      </c>
      <c r="F33" s="152">
        <v>260</v>
      </c>
      <c r="G33" s="152">
        <v>10</v>
      </c>
      <c r="H33" s="94">
        <v>10</v>
      </c>
      <c r="I33" s="156">
        <f t="shared" si="1"/>
        <v>1</v>
      </c>
    </row>
    <row r="34" spans="1:11" x14ac:dyDescent="0.35">
      <c r="A34" s="94">
        <v>2022</v>
      </c>
      <c r="B34" s="94" t="s">
        <v>41</v>
      </c>
      <c r="C34" s="155">
        <v>44858</v>
      </c>
      <c r="D34" s="152" t="s">
        <v>448</v>
      </c>
      <c r="E34" s="152" t="s">
        <v>443</v>
      </c>
      <c r="F34" s="152">
        <v>260</v>
      </c>
      <c r="G34" s="152">
        <v>5</v>
      </c>
      <c r="H34" s="94">
        <v>10</v>
      </c>
      <c r="I34" s="156">
        <f t="shared" si="1"/>
        <v>0.5</v>
      </c>
    </row>
    <row r="35" spans="1:11" x14ac:dyDescent="0.35">
      <c r="A35" s="94">
        <v>2022</v>
      </c>
      <c r="B35" s="94" t="s">
        <v>41</v>
      </c>
      <c r="C35" s="155">
        <v>44858</v>
      </c>
      <c r="D35" s="152" t="s">
        <v>449</v>
      </c>
      <c r="E35" s="152" t="s">
        <v>443</v>
      </c>
      <c r="F35" s="152">
        <v>260</v>
      </c>
      <c r="G35" s="152">
        <v>7</v>
      </c>
      <c r="H35" s="94">
        <v>10</v>
      </c>
      <c r="I35" s="156">
        <f t="shared" si="1"/>
        <v>0.7</v>
      </c>
    </row>
    <row r="36" spans="1:11" x14ac:dyDescent="0.35">
      <c r="A36" s="94">
        <v>2022</v>
      </c>
      <c r="B36" s="94" t="s">
        <v>41</v>
      </c>
      <c r="C36" s="155">
        <v>44858</v>
      </c>
      <c r="D36" s="152" t="s">
        <v>438</v>
      </c>
      <c r="E36" s="152" t="s">
        <v>443</v>
      </c>
      <c r="F36" s="152">
        <v>260</v>
      </c>
      <c r="G36" s="152">
        <v>4</v>
      </c>
      <c r="H36" s="94">
        <v>10</v>
      </c>
      <c r="I36" s="156">
        <f t="shared" si="1"/>
        <v>0.4</v>
      </c>
    </row>
    <row r="37" spans="1:11" x14ac:dyDescent="0.35">
      <c r="A37" s="94">
        <v>2022</v>
      </c>
      <c r="B37" s="94" t="s">
        <v>41</v>
      </c>
      <c r="C37" s="155">
        <v>44802</v>
      </c>
      <c r="D37" s="152" t="s">
        <v>441</v>
      </c>
      <c r="E37" s="152" t="s">
        <v>447</v>
      </c>
      <c r="F37" s="152">
        <v>260</v>
      </c>
      <c r="G37" s="152">
        <v>5</v>
      </c>
      <c r="H37" s="94">
        <v>10</v>
      </c>
      <c r="I37" s="156">
        <f t="shared" si="1"/>
        <v>0.5</v>
      </c>
    </row>
    <row r="39" spans="1:11" ht="15" thickBot="1" x14ac:dyDescent="0.4">
      <c r="A39" s="157" t="s">
        <v>34</v>
      </c>
      <c r="B39" s="157" t="s">
        <v>43</v>
      </c>
    </row>
    <row r="40" spans="1:11" x14ac:dyDescent="0.35">
      <c r="A40" s="148" t="s">
        <v>428</v>
      </c>
      <c r="B40" s="149" t="s">
        <v>34</v>
      </c>
      <c r="C40" s="149" t="s">
        <v>429</v>
      </c>
      <c r="D40" s="149" t="s">
        <v>430</v>
      </c>
      <c r="E40" s="149" t="s">
        <v>431</v>
      </c>
      <c r="F40" s="149" t="s">
        <v>432</v>
      </c>
      <c r="G40" s="149" t="s">
        <v>433</v>
      </c>
      <c r="H40" s="150" t="s">
        <v>434</v>
      </c>
      <c r="I40" s="151" t="s">
        <v>435</v>
      </c>
    </row>
    <row r="41" spans="1:11" x14ac:dyDescent="0.35">
      <c r="A41" s="94">
        <v>2021</v>
      </c>
      <c r="B41" s="94" t="s">
        <v>43</v>
      </c>
      <c r="C41" s="155">
        <v>44388</v>
      </c>
      <c r="D41" s="152" t="s">
        <v>440</v>
      </c>
      <c r="E41" s="152" t="s">
        <v>439</v>
      </c>
      <c r="F41" s="152">
        <v>250</v>
      </c>
      <c r="G41" s="152">
        <v>8</v>
      </c>
      <c r="H41" s="94">
        <v>10</v>
      </c>
      <c r="I41" s="154">
        <f>G41/H41</f>
        <v>0.8</v>
      </c>
    </row>
    <row r="42" spans="1:11" x14ac:dyDescent="0.35">
      <c r="A42" s="94">
        <v>2021</v>
      </c>
      <c r="B42" s="94" t="s">
        <v>43</v>
      </c>
      <c r="C42" s="155">
        <v>44388</v>
      </c>
      <c r="D42" s="152" t="s">
        <v>441</v>
      </c>
      <c r="E42" s="152" t="s">
        <v>439</v>
      </c>
      <c r="F42" s="152">
        <v>250</v>
      </c>
      <c r="G42" s="152">
        <v>9</v>
      </c>
      <c r="H42" s="94">
        <v>10</v>
      </c>
      <c r="I42" s="154">
        <f>G42/H42</f>
        <v>0.9</v>
      </c>
    </row>
    <row r="43" spans="1:11" x14ac:dyDescent="0.35">
      <c r="A43" s="94">
        <v>2021</v>
      </c>
      <c r="B43" s="94" t="s">
        <v>43</v>
      </c>
      <c r="C43" s="155">
        <v>44494</v>
      </c>
      <c r="D43" s="152" t="s">
        <v>449</v>
      </c>
      <c r="E43" s="152" t="s">
        <v>443</v>
      </c>
      <c r="F43" s="152">
        <v>260</v>
      </c>
      <c r="G43" s="152">
        <v>9</v>
      </c>
      <c r="H43" s="94">
        <v>10</v>
      </c>
      <c r="I43" s="154">
        <f>G43/H43</f>
        <v>0.9</v>
      </c>
      <c r="J43" t="s">
        <v>138</v>
      </c>
      <c r="K43" s="160">
        <f>AVERAGE(I41:I45)</f>
        <v>0.64</v>
      </c>
    </row>
    <row r="44" spans="1:11" x14ac:dyDescent="0.35">
      <c r="A44" s="94">
        <v>2021</v>
      </c>
      <c r="B44" s="94" t="s">
        <v>43</v>
      </c>
      <c r="C44" s="155">
        <v>44438</v>
      </c>
      <c r="D44" s="152" t="s">
        <v>441</v>
      </c>
      <c r="E44" s="152" t="s">
        <v>447</v>
      </c>
      <c r="F44" s="152">
        <v>260</v>
      </c>
      <c r="G44" s="152">
        <v>2</v>
      </c>
      <c r="H44" s="94">
        <v>10</v>
      </c>
      <c r="I44" s="154">
        <f>G44/H44</f>
        <v>0.2</v>
      </c>
      <c r="J44" t="s">
        <v>442</v>
      </c>
      <c r="K44">
        <f>MODE(G41:G45)</f>
        <v>9</v>
      </c>
    </row>
    <row r="45" spans="1:11" x14ac:dyDescent="0.35">
      <c r="A45" s="94">
        <v>2021</v>
      </c>
      <c r="B45" s="94" t="s">
        <v>43</v>
      </c>
      <c r="C45" s="155">
        <v>44494</v>
      </c>
      <c r="D45" s="152" t="s">
        <v>441</v>
      </c>
      <c r="E45" s="152" t="s">
        <v>447</v>
      </c>
      <c r="F45" s="152">
        <v>260</v>
      </c>
      <c r="G45" s="152">
        <v>4</v>
      </c>
      <c r="H45" s="94">
        <v>10</v>
      </c>
      <c r="I45" s="154">
        <f>G45/H45</f>
        <v>0.4</v>
      </c>
      <c r="J45" t="s">
        <v>444</v>
      </c>
      <c r="K45">
        <f>COUNT(I41:I49)</f>
        <v>8</v>
      </c>
    </row>
    <row r="46" spans="1:11" x14ac:dyDescent="0.35">
      <c r="A46" s="94"/>
      <c r="B46" s="94"/>
      <c r="C46" s="94"/>
      <c r="D46" s="94"/>
      <c r="E46" s="94"/>
      <c r="F46" s="94"/>
      <c r="G46" s="94"/>
      <c r="H46" s="94"/>
      <c r="I46" s="94"/>
    </row>
    <row r="47" spans="1:11" x14ac:dyDescent="0.35">
      <c r="A47" s="94">
        <v>2022</v>
      </c>
      <c r="B47" s="94" t="s">
        <v>43</v>
      </c>
      <c r="C47" s="155">
        <v>44564</v>
      </c>
      <c r="D47" s="152" t="s">
        <v>445</v>
      </c>
      <c r="E47" s="152" t="s">
        <v>443</v>
      </c>
      <c r="F47" s="152">
        <v>260</v>
      </c>
      <c r="G47" s="152">
        <v>5</v>
      </c>
      <c r="H47" s="94">
        <v>10</v>
      </c>
      <c r="I47" s="156">
        <f>G47/H47</f>
        <v>0.5</v>
      </c>
    </row>
    <row r="48" spans="1:11" x14ac:dyDescent="0.35">
      <c r="A48" s="94">
        <v>2022</v>
      </c>
      <c r="B48" s="94" t="s">
        <v>43</v>
      </c>
      <c r="C48" s="155">
        <v>44564</v>
      </c>
      <c r="D48" s="152" t="s">
        <v>440</v>
      </c>
      <c r="E48" s="152" t="s">
        <v>439</v>
      </c>
      <c r="F48" s="152">
        <v>260</v>
      </c>
      <c r="G48" s="152">
        <v>2</v>
      </c>
      <c r="H48" s="94">
        <v>10</v>
      </c>
      <c r="I48" s="156">
        <f>G48/H48</f>
        <v>0.2</v>
      </c>
      <c r="J48" t="s">
        <v>137</v>
      </c>
      <c r="K48" s="160">
        <f>AVERAGE(I47:I49)</f>
        <v>0.33333333333333331</v>
      </c>
    </row>
    <row r="49" spans="1:11" x14ac:dyDescent="0.35">
      <c r="A49" s="94">
        <v>2022</v>
      </c>
      <c r="B49" s="94" t="s">
        <v>43</v>
      </c>
      <c r="C49" s="155">
        <v>44746</v>
      </c>
      <c r="D49" s="152" t="s">
        <v>441</v>
      </c>
      <c r="E49" s="152" t="s">
        <v>439</v>
      </c>
      <c r="F49" s="152">
        <v>260</v>
      </c>
      <c r="G49" s="152">
        <v>3</v>
      </c>
      <c r="H49" s="94">
        <v>10</v>
      </c>
      <c r="I49" s="156">
        <f>G49/H49</f>
        <v>0.3</v>
      </c>
      <c r="J49" t="s">
        <v>442</v>
      </c>
      <c r="K49">
        <v>5</v>
      </c>
    </row>
    <row r="50" spans="1:11" x14ac:dyDescent="0.35">
      <c r="J50" t="s">
        <v>444</v>
      </c>
      <c r="K50">
        <f>COUNT(I47:I49)</f>
        <v>3</v>
      </c>
    </row>
    <row r="52" spans="1:11" ht="15" thickBot="1" x14ac:dyDescent="0.4">
      <c r="A52" s="157" t="s">
        <v>34</v>
      </c>
      <c r="B52" s="157" t="s">
        <v>46</v>
      </c>
    </row>
    <row r="53" spans="1:11" x14ac:dyDescent="0.35">
      <c r="A53" s="148" t="s">
        <v>428</v>
      </c>
      <c r="B53" s="149" t="s">
        <v>34</v>
      </c>
      <c r="C53" s="149" t="s">
        <v>429</v>
      </c>
      <c r="D53" s="149" t="s">
        <v>430</v>
      </c>
      <c r="E53" s="149" t="s">
        <v>431</v>
      </c>
      <c r="F53" s="149" t="s">
        <v>432</v>
      </c>
      <c r="G53" s="149" t="s">
        <v>433</v>
      </c>
      <c r="H53" s="150" t="s">
        <v>434</v>
      </c>
      <c r="I53" s="151" t="s">
        <v>435</v>
      </c>
    </row>
    <row r="54" spans="1:11" x14ac:dyDescent="0.35">
      <c r="A54" s="94">
        <v>2021</v>
      </c>
      <c r="B54" s="94" t="s">
        <v>46</v>
      </c>
      <c r="C54" s="155">
        <v>44381</v>
      </c>
      <c r="D54" s="152" t="s">
        <v>441</v>
      </c>
      <c r="E54" s="152" t="s">
        <v>439</v>
      </c>
      <c r="F54" s="152">
        <v>260</v>
      </c>
      <c r="G54" s="152">
        <v>5</v>
      </c>
      <c r="H54" s="94">
        <v>10</v>
      </c>
      <c r="I54" s="156">
        <f>G54/H54</f>
        <v>0.5</v>
      </c>
      <c r="J54" t="s">
        <v>138</v>
      </c>
      <c r="K54" s="160">
        <f>AVERAGE(I54)</f>
        <v>0.5</v>
      </c>
    </row>
    <row r="55" spans="1:11" x14ac:dyDescent="0.35">
      <c r="A55" s="94"/>
      <c r="B55" s="94"/>
      <c r="C55" s="155"/>
      <c r="D55" s="152"/>
      <c r="E55" s="152"/>
      <c r="F55" s="152"/>
      <c r="G55" s="152"/>
      <c r="H55" s="94"/>
      <c r="I55" s="156"/>
      <c r="J55" t="s">
        <v>444</v>
      </c>
      <c r="K55">
        <v>1</v>
      </c>
    </row>
    <row r="56" spans="1:11" x14ac:dyDescent="0.35">
      <c r="A56" s="94">
        <v>2022</v>
      </c>
      <c r="B56" s="94" t="s">
        <v>46</v>
      </c>
      <c r="C56" s="155">
        <v>44564</v>
      </c>
      <c r="D56" s="152" t="s">
        <v>445</v>
      </c>
      <c r="E56" s="152" t="s">
        <v>443</v>
      </c>
      <c r="F56" s="152">
        <v>260</v>
      </c>
      <c r="G56" s="152">
        <v>5</v>
      </c>
      <c r="H56" s="94">
        <v>10</v>
      </c>
      <c r="I56" s="156">
        <f>G56/H56</f>
        <v>0.5</v>
      </c>
      <c r="K56" s="160"/>
    </row>
    <row r="57" spans="1:11" x14ac:dyDescent="0.35">
      <c r="J57" t="s">
        <v>137</v>
      </c>
      <c r="K57" s="160">
        <f>AVERAGE(I56)</f>
        <v>0.5</v>
      </c>
    </row>
    <row r="58" spans="1:11" ht="15" thickBot="1" x14ac:dyDescent="0.4">
      <c r="A58" s="146" t="s">
        <v>34</v>
      </c>
      <c r="B58" s="146" t="s">
        <v>50</v>
      </c>
      <c r="J58" t="s">
        <v>444</v>
      </c>
      <c r="K58">
        <v>1</v>
      </c>
    </row>
    <row r="59" spans="1:11" ht="15" thickBot="1" x14ac:dyDescent="0.4">
      <c r="A59" s="148" t="s">
        <v>428</v>
      </c>
      <c r="B59" s="149" t="s">
        <v>34</v>
      </c>
      <c r="C59" s="149" t="s">
        <v>429</v>
      </c>
      <c r="D59" s="149" t="s">
        <v>430</v>
      </c>
      <c r="E59" s="149" t="s">
        <v>431</v>
      </c>
      <c r="F59" s="149" t="s">
        <v>432</v>
      </c>
      <c r="G59" s="149" t="s">
        <v>433</v>
      </c>
      <c r="H59" s="150" t="s">
        <v>434</v>
      </c>
      <c r="I59" s="151" t="s">
        <v>435</v>
      </c>
    </row>
    <row r="60" spans="1:11" ht="15" thickBot="1" x14ac:dyDescent="0.4">
      <c r="A60" s="94">
        <v>2021</v>
      </c>
      <c r="B60" s="94" t="s">
        <v>50</v>
      </c>
      <c r="C60" s="155">
        <v>44388</v>
      </c>
      <c r="D60" s="158" t="s">
        <v>440</v>
      </c>
      <c r="E60" s="152" t="s">
        <v>439</v>
      </c>
      <c r="F60" s="158">
        <v>250</v>
      </c>
      <c r="G60" s="158">
        <v>5</v>
      </c>
      <c r="H60" s="94">
        <v>10</v>
      </c>
      <c r="I60" s="154">
        <f t="shared" ref="I60:I69" si="2">G60/H60</f>
        <v>0.5</v>
      </c>
    </row>
    <row r="61" spans="1:11" ht="15" thickBot="1" x14ac:dyDescent="0.4">
      <c r="A61" s="94">
        <v>2021</v>
      </c>
      <c r="B61" s="94" t="s">
        <v>50</v>
      </c>
      <c r="C61" s="155">
        <v>44438</v>
      </c>
      <c r="D61" s="158" t="s">
        <v>440</v>
      </c>
      <c r="E61" s="152" t="s">
        <v>439</v>
      </c>
      <c r="F61" s="158">
        <v>260</v>
      </c>
      <c r="G61" s="158">
        <v>6</v>
      </c>
      <c r="H61" s="94">
        <v>10</v>
      </c>
      <c r="I61" s="154">
        <f t="shared" si="2"/>
        <v>0.6</v>
      </c>
    </row>
    <row r="62" spans="1:11" ht="15" thickBot="1" x14ac:dyDescent="0.4">
      <c r="A62" s="94">
        <v>2021</v>
      </c>
      <c r="B62" s="94" t="s">
        <v>50</v>
      </c>
      <c r="C62" s="155">
        <v>44438</v>
      </c>
      <c r="D62" s="158" t="s">
        <v>441</v>
      </c>
      <c r="E62" s="152" t="s">
        <v>439</v>
      </c>
      <c r="F62" s="158">
        <v>260</v>
      </c>
      <c r="G62" s="158">
        <v>7</v>
      </c>
      <c r="H62" s="94">
        <v>10</v>
      </c>
      <c r="I62" s="154">
        <f t="shared" si="2"/>
        <v>0.7</v>
      </c>
    </row>
    <row r="63" spans="1:11" ht="15" thickBot="1" x14ac:dyDescent="0.4">
      <c r="A63" s="94">
        <v>2021</v>
      </c>
      <c r="B63" s="94" t="s">
        <v>50</v>
      </c>
      <c r="C63" s="155">
        <v>44494</v>
      </c>
      <c r="D63" s="158" t="s">
        <v>441</v>
      </c>
      <c r="E63" s="152" t="s">
        <v>439</v>
      </c>
      <c r="F63" s="158">
        <v>260</v>
      </c>
      <c r="G63" s="158">
        <v>8</v>
      </c>
      <c r="H63" s="94">
        <v>10</v>
      </c>
      <c r="I63" s="154">
        <f t="shared" si="2"/>
        <v>0.8</v>
      </c>
    </row>
    <row r="64" spans="1:11" ht="15" thickBot="1" x14ac:dyDescent="0.4">
      <c r="A64" s="94">
        <v>2021</v>
      </c>
      <c r="B64" s="94" t="s">
        <v>50</v>
      </c>
      <c r="C64" s="155">
        <v>44494</v>
      </c>
      <c r="D64" s="158" t="s">
        <v>441</v>
      </c>
      <c r="E64" s="152" t="s">
        <v>439</v>
      </c>
      <c r="F64" s="158">
        <v>260</v>
      </c>
      <c r="G64" s="158">
        <v>4</v>
      </c>
      <c r="H64" s="94">
        <v>10</v>
      </c>
      <c r="I64" s="154">
        <f t="shared" si="2"/>
        <v>0.4</v>
      </c>
      <c r="J64" t="s">
        <v>138</v>
      </c>
      <c r="K64" s="160">
        <f>AVERAGE(I60:I69)</f>
        <v>0.65000000000000013</v>
      </c>
    </row>
    <row r="65" spans="1:11" ht="15" thickBot="1" x14ac:dyDescent="0.4">
      <c r="A65" s="94">
        <v>2021</v>
      </c>
      <c r="B65" s="152" t="s">
        <v>50</v>
      </c>
      <c r="C65" s="153">
        <v>44256</v>
      </c>
      <c r="D65" s="158" t="s">
        <v>448</v>
      </c>
      <c r="E65" s="152" t="s">
        <v>443</v>
      </c>
      <c r="F65" s="158">
        <v>250</v>
      </c>
      <c r="G65" s="158">
        <v>5</v>
      </c>
      <c r="H65" s="94">
        <v>10</v>
      </c>
      <c r="I65" s="154">
        <f t="shared" si="2"/>
        <v>0.5</v>
      </c>
      <c r="J65" t="s">
        <v>442</v>
      </c>
      <c r="K65">
        <f>MODE(G60:G69)</f>
        <v>5</v>
      </c>
    </row>
    <row r="66" spans="1:11" ht="15" thickBot="1" x14ac:dyDescent="0.4">
      <c r="A66" s="94">
        <v>2021</v>
      </c>
      <c r="B66" s="94" t="s">
        <v>50</v>
      </c>
      <c r="C66" s="155">
        <v>44388</v>
      </c>
      <c r="D66" s="158" t="s">
        <v>449</v>
      </c>
      <c r="E66" s="152" t="s">
        <v>443</v>
      </c>
      <c r="F66" s="158">
        <v>250</v>
      </c>
      <c r="G66" s="158">
        <v>9</v>
      </c>
      <c r="H66" s="94">
        <v>10</v>
      </c>
      <c r="I66" s="154">
        <f t="shared" si="2"/>
        <v>0.9</v>
      </c>
      <c r="J66" t="s">
        <v>444</v>
      </c>
      <c r="K66">
        <f>COUNT(I60:I69)</f>
        <v>10</v>
      </c>
    </row>
    <row r="67" spans="1:11" ht="15" thickBot="1" x14ac:dyDescent="0.4">
      <c r="A67" s="94">
        <v>2021</v>
      </c>
      <c r="B67" s="94" t="s">
        <v>50</v>
      </c>
      <c r="C67" s="155">
        <v>44438</v>
      </c>
      <c r="D67" s="158" t="s">
        <v>448</v>
      </c>
      <c r="E67" s="152" t="s">
        <v>443</v>
      </c>
      <c r="F67" s="158">
        <v>260</v>
      </c>
      <c r="G67" s="158">
        <v>5</v>
      </c>
      <c r="H67" s="94">
        <v>10</v>
      </c>
      <c r="I67" s="154">
        <f t="shared" si="2"/>
        <v>0.5</v>
      </c>
    </row>
    <row r="68" spans="1:11" ht="15" thickBot="1" x14ac:dyDescent="0.4">
      <c r="A68" s="94">
        <v>2021</v>
      </c>
      <c r="B68" s="94" t="s">
        <v>50</v>
      </c>
      <c r="C68" s="155">
        <v>44438</v>
      </c>
      <c r="D68" s="158" t="s">
        <v>449</v>
      </c>
      <c r="E68" s="152" t="s">
        <v>443</v>
      </c>
      <c r="F68" s="158">
        <v>260</v>
      </c>
      <c r="G68" s="158">
        <v>7</v>
      </c>
      <c r="H68" s="94">
        <v>10</v>
      </c>
      <c r="I68" s="154">
        <f t="shared" si="2"/>
        <v>0.7</v>
      </c>
    </row>
    <row r="69" spans="1:11" x14ac:dyDescent="0.35">
      <c r="A69" s="94">
        <v>2021</v>
      </c>
      <c r="B69" s="94" t="s">
        <v>50</v>
      </c>
      <c r="C69" s="155">
        <v>44494</v>
      </c>
      <c r="D69" s="158" t="s">
        <v>448</v>
      </c>
      <c r="E69" s="152" t="s">
        <v>443</v>
      </c>
      <c r="F69" s="158">
        <v>260</v>
      </c>
      <c r="G69" s="158">
        <v>9</v>
      </c>
      <c r="H69" s="94">
        <v>10</v>
      </c>
      <c r="I69" s="154">
        <f t="shared" si="2"/>
        <v>0.9</v>
      </c>
    </row>
    <row r="70" spans="1:11" x14ac:dyDescent="0.35">
      <c r="A70" s="94"/>
      <c r="B70" s="94"/>
      <c r="C70" s="94"/>
      <c r="D70" s="94"/>
      <c r="E70" s="94"/>
      <c r="F70" s="94"/>
      <c r="G70" s="94"/>
      <c r="H70" s="94"/>
      <c r="I70" s="94"/>
    </row>
    <row r="71" spans="1:11" x14ac:dyDescent="0.35">
      <c r="A71" s="94">
        <v>2022</v>
      </c>
      <c r="B71" s="94" t="s">
        <v>50</v>
      </c>
      <c r="C71" s="155">
        <v>44564</v>
      </c>
      <c r="D71" s="152" t="s">
        <v>440</v>
      </c>
      <c r="E71" s="152" t="s">
        <v>447</v>
      </c>
      <c r="F71" s="152">
        <v>260</v>
      </c>
      <c r="G71" s="152">
        <v>2</v>
      </c>
      <c r="H71" s="94">
        <v>10</v>
      </c>
      <c r="I71" s="156">
        <f t="shared" ref="I71:I84" si="3">G71/H71</f>
        <v>0.2</v>
      </c>
    </row>
    <row r="72" spans="1:11" x14ac:dyDescent="0.35">
      <c r="A72" s="94">
        <v>2022</v>
      </c>
      <c r="B72" s="94" t="s">
        <v>50</v>
      </c>
      <c r="C72" s="155">
        <v>44564</v>
      </c>
      <c r="D72" s="152" t="s">
        <v>440</v>
      </c>
      <c r="E72" s="152" t="s">
        <v>447</v>
      </c>
      <c r="F72" s="152">
        <v>260</v>
      </c>
      <c r="G72" s="152">
        <v>7</v>
      </c>
      <c r="H72" s="94">
        <v>10</v>
      </c>
      <c r="I72" s="156">
        <f t="shared" si="3"/>
        <v>0.7</v>
      </c>
    </row>
    <row r="73" spans="1:11" x14ac:dyDescent="0.35">
      <c r="A73" s="94">
        <v>2022</v>
      </c>
      <c r="B73" s="94" t="s">
        <v>50</v>
      </c>
      <c r="C73" s="155">
        <v>44564</v>
      </c>
      <c r="D73" s="152" t="s">
        <v>441</v>
      </c>
      <c r="E73" s="152" t="s">
        <v>439</v>
      </c>
      <c r="F73" s="152">
        <v>260</v>
      </c>
      <c r="G73" s="152">
        <v>3</v>
      </c>
      <c r="H73" s="94">
        <v>10</v>
      </c>
      <c r="I73" s="156">
        <f t="shared" si="3"/>
        <v>0.3</v>
      </c>
    </row>
    <row r="74" spans="1:11" x14ac:dyDescent="0.35">
      <c r="A74" s="94">
        <v>2022</v>
      </c>
      <c r="B74" s="94" t="s">
        <v>50</v>
      </c>
      <c r="C74" s="155">
        <v>44683</v>
      </c>
      <c r="D74" s="152" t="s">
        <v>445</v>
      </c>
      <c r="E74" s="152" t="s">
        <v>443</v>
      </c>
      <c r="F74" s="152">
        <v>260</v>
      </c>
      <c r="G74" s="152">
        <v>4</v>
      </c>
      <c r="H74" s="94">
        <v>10</v>
      </c>
      <c r="I74" s="156">
        <f t="shared" si="3"/>
        <v>0.4</v>
      </c>
    </row>
    <row r="75" spans="1:11" x14ac:dyDescent="0.35">
      <c r="A75" s="94">
        <v>2022</v>
      </c>
      <c r="B75" s="94" t="s">
        <v>50</v>
      </c>
      <c r="C75" s="155">
        <v>44683</v>
      </c>
      <c r="D75" s="152" t="s">
        <v>440</v>
      </c>
      <c r="E75" s="152" t="s">
        <v>447</v>
      </c>
      <c r="F75" s="152">
        <v>220</v>
      </c>
      <c r="G75" s="152">
        <v>3</v>
      </c>
      <c r="H75" s="94">
        <v>10</v>
      </c>
      <c r="I75" s="156">
        <f t="shared" si="3"/>
        <v>0.3</v>
      </c>
      <c r="J75" t="s">
        <v>137</v>
      </c>
      <c r="K75" s="160">
        <f>AVERAGE(I71:I84)</f>
        <v>0.5357142857142857</v>
      </c>
    </row>
    <row r="76" spans="1:11" x14ac:dyDescent="0.35">
      <c r="A76" s="94">
        <v>2022</v>
      </c>
      <c r="B76" s="94" t="s">
        <v>50</v>
      </c>
      <c r="C76" s="155">
        <v>44746</v>
      </c>
      <c r="D76" s="152" t="s">
        <v>448</v>
      </c>
      <c r="E76" s="152" t="s">
        <v>443</v>
      </c>
      <c r="F76" s="152">
        <v>220</v>
      </c>
      <c r="G76" s="152">
        <v>4</v>
      </c>
      <c r="H76" s="94">
        <v>10</v>
      </c>
      <c r="I76" s="156">
        <f t="shared" si="3"/>
        <v>0.4</v>
      </c>
      <c r="J76" t="s">
        <v>442</v>
      </c>
      <c r="K76">
        <f>MODE(G71:G84)</f>
        <v>4</v>
      </c>
    </row>
    <row r="77" spans="1:11" x14ac:dyDescent="0.35">
      <c r="A77" s="94">
        <v>2022</v>
      </c>
      <c r="B77" s="94" t="s">
        <v>50</v>
      </c>
      <c r="C77" s="155">
        <v>44746</v>
      </c>
      <c r="D77" s="152" t="s">
        <v>440</v>
      </c>
      <c r="E77" s="152" t="s">
        <v>447</v>
      </c>
      <c r="F77" s="152">
        <v>260</v>
      </c>
      <c r="G77" s="152">
        <v>4</v>
      </c>
      <c r="H77" s="94">
        <v>10</v>
      </c>
      <c r="I77" s="156">
        <f t="shared" si="3"/>
        <v>0.4</v>
      </c>
      <c r="J77" t="s">
        <v>444</v>
      </c>
      <c r="K77">
        <f>COUNT(I71:I84)</f>
        <v>14</v>
      </c>
    </row>
    <row r="78" spans="1:11" x14ac:dyDescent="0.35">
      <c r="A78" s="94">
        <v>2022</v>
      </c>
      <c r="B78" s="94" t="s">
        <v>50</v>
      </c>
      <c r="C78" s="155">
        <v>44802</v>
      </c>
      <c r="D78" s="152" t="s">
        <v>448</v>
      </c>
      <c r="E78" s="152" t="s">
        <v>443</v>
      </c>
      <c r="F78" s="152">
        <v>260</v>
      </c>
      <c r="G78" s="152">
        <v>8</v>
      </c>
      <c r="H78" s="94">
        <v>10</v>
      </c>
      <c r="I78" s="156">
        <f t="shared" si="3"/>
        <v>0.8</v>
      </c>
    </row>
    <row r="79" spans="1:11" x14ac:dyDescent="0.35">
      <c r="A79" s="94">
        <v>2022</v>
      </c>
      <c r="B79" s="94" t="s">
        <v>50</v>
      </c>
      <c r="C79" s="155">
        <v>44802</v>
      </c>
      <c r="D79" s="152" t="s">
        <v>446</v>
      </c>
      <c r="E79" s="152" t="s">
        <v>443</v>
      </c>
      <c r="F79" s="152">
        <v>260</v>
      </c>
      <c r="G79" s="152">
        <v>5</v>
      </c>
      <c r="H79" s="94">
        <v>10</v>
      </c>
      <c r="I79" s="156">
        <f t="shared" si="3"/>
        <v>0.5</v>
      </c>
    </row>
    <row r="80" spans="1:11" x14ac:dyDescent="0.35">
      <c r="A80" s="94">
        <v>2022</v>
      </c>
      <c r="B80" s="94" t="s">
        <v>50</v>
      </c>
      <c r="C80" s="155">
        <v>44802</v>
      </c>
      <c r="D80" s="152" t="s">
        <v>446</v>
      </c>
      <c r="E80" s="152" t="s">
        <v>443</v>
      </c>
      <c r="F80" s="152">
        <v>220</v>
      </c>
      <c r="G80" s="152">
        <v>6</v>
      </c>
      <c r="H80" s="94">
        <v>10</v>
      </c>
      <c r="I80" s="156">
        <f t="shared" si="3"/>
        <v>0.6</v>
      </c>
    </row>
    <row r="81" spans="1:11" x14ac:dyDescent="0.35">
      <c r="A81" s="94">
        <v>2022</v>
      </c>
      <c r="B81" s="94" t="s">
        <v>50</v>
      </c>
      <c r="C81" s="155">
        <v>44802</v>
      </c>
      <c r="D81" s="152" t="s">
        <v>440</v>
      </c>
      <c r="E81" s="152" t="s">
        <v>447</v>
      </c>
      <c r="F81" s="152">
        <v>260</v>
      </c>
      <c r="G81" s="152">
        <v>4</v>
      </c>
      <c r="H81" s="94">
        <v>10</v>
      </c>
      <c r="I81" s="156">
        <f t="shared" si="3"/>
        <v>0.4</v>
      </c>
    </row>
    <row r="82" spans="1:11" x14ac:dyDescent="0.35">
      <c r="A82" s="94">
        <v>2022</v>
      </c>
      <c r="B82" s="94" t="s">
        <v>50</v>
      </c>
      <c r="C82" s="155">
        <v>44858</v>
      </c>
      <c r="D82" s="152" t="s">
        <v>446</v>
      </c>
      <c r="E82" s="152" t="s">
        <v>443</v>
      </c>
      <c r="F82" s="152">
        <v>260</v>
      </c>
      <c r="G82" s="152">
        <v>10</v>
      </c>
      <c r="H82" s="94">
        <v>10</v>
      </c>
      <c r="I82" s="156">
        <f t="shared" si="3"/>
        <v>1</v>
      </c>
    </row>
    <row r="83" spans="1:11" x14ac:dyDescent="0.35">
      <c r="A83" s="94">
        <v>2022</v>
      </c>
      <c r="B83" s="94" t="s">
        <v>50</v>
      </c>
      <c r="C83" s="155">
        <v>44858</v>
      </c>
      <c r="D83" s="152" t="s">
        <v>440</v>
      </c>
      <c r="E83" s="152" t="s">
        <v>439</v>
      </c>
      <c r="F83" s="152">
        <v>260</v>
      </c>
      <c r="G83" s="152">
        <v>11</v>
      </c>
      <c r="H83" s="94">
        <v>11</v>
      </c>
      <c r="I83" s="156">
        <f t="shared" si="3"/>
        <v>1</v>
      </c>
    </row>
    <row r="84" spans="1:11" x14ac:dyDescent="0.35">
      <c r="A84" s="94">
        <v>2022</v>
      </c>
      <c r="B84" s="94" t="s">
        <v>50</v>
      </c>
      <c r="C84" s="155">
        <v>44858</v>
      </c>
      <c r="D84" s="152" t="s">
        <v>441</v>
      </c>
      <c r="E84" s="152" t="s">
        <v>439</v>
      </c>
      <c r="F84" s="152">
        <v>220</v>
      </c>
      <c r="G84" s="152">
        <v>5</v>
      </c>
      <c r="H84" s="94">
        <v>10</v>
      </c>
      <c r="I84" s="156">
        <f t="shared" si="3"/>
        <v>0.5</v>
      </c>
    </row>
    <row r="86" spans="1:11" ht="15" thickBot="1" x14ac:dyDescent="0.4">
      <c r="A86" s="157" t="s">
        <v>34</v>
      </c>
      <c r="B86" s="157" t="s">
        <v>52</v>
      </c>
    </row>
    <row r="87" spans="1:11" ht="15" thickBot="1" x14ac:dyDescent="0.4">
      <c r="A87" s="148" t="s">
        <v>428</v>
      </c>
      <c r="B87" s="149" t="s">
        <v>34</v>
      </c>
      <c r="C87" s="149" t="s">
        <v>429</v>
      </c>
      <c r="D87" s="149" t="s">
        <v>430</v>
      </c>
      <c r="E87" s="149" t="s">
        <v>431</v>
      </c>
      <c r="F87" s="149" t="s">
        <v>432</v>
      </c>
      <c r="G87" s="149" t="s">
        <v>433</v>
      </c>
      <c r="H87" s="150" t="s">
        <v>434</v>
      </c>
      <c r="I87" s="151" t="s">
        <v>435</v>
      </c>
    </row>
    <row r="88" spans="1:11" ht="15" thickBot="1" x14ac:dyDescent="0.4">
      <c r="A88" s="94">
        <v>2021</v>
      </c>
      <c r="B88" s="94" t="s">
        <v>52</v>
      </c>
      <c r="C88" s="155">
        <v>44388</v>
      </c>
      <c r="D88" s="158" t="s">
        <v>440</v>
      </c>
      <c r="E88" s="152" t="s">
        <v>439</v>
      </c>
      <c r="F88" s="158">
        <v>250</v>
      </c>
      <c r="G88" s="158">
        <v>10</v>
      </c>
      <c r="H88" s="94">
        <v>10</v>
      </c>
      <c r="I88" s="154">
        <f t="shared" ref="I88:I101" si="4">G88/H88</f>
        <v>1</v>
      </c>
    </row>
    <row r="89" spans="1:11" ht="15" thickBot="1" x14ac:dyDescent="0.4">
      <c r="A89" s="94">
        <v>2021</v>
      </c>
      <c r="B89" s="94" t="s">
        <v>52</v>
      </c>
      <c r="C89" s="155">
        <v>44438</v>
      </c>
      <c r="D89" s="158" t="s">
        <v>440</v>
      </c>
      <c r="E89" s="152" t="s">
        <v>439</v>
      </c>
      <c r="F89" s="158">
        <v>260</v>
      </c>
      <c r="G89" s="158">
        <v>4</v>
      </c>
      <c r="H89" s="94">
        <v>10</v>
      </c>
      <c r="I89" s="154">
        <f t="shared" si="4"/>
        <v>0.4</v>
      </c>
    </row>
    <row r="90" spans="1:11" ht="15" thickBot="1" x14ac:dyDescent="0.4">
      <c r="A90" s="94">
        <v>2021</v>
      </c>
      <c r="B90" s="94" t="s">
        <v>52</v>
      </c>
      <c r="C90" s="155">
        <v>44494</v>
      </c>
      <c r="D90" s="158" t="s">
        <v>440</v>
      </c>
      <c r="E90" s="152" t="s">
        <v>439</v>
      </c>
      <c r="F90" s="158">
        <v>260</v>
      </c>
      <c r="G90" s="158">
        <v>3</v>
      </c>
      <c r="H90" s="94">
        <v>10</v>
      </c>
      <c r="I90" s="154">
        <f t="shared" si="4"/>
        <v>0.3</v>
      </c>
    </row>
    <row r="91" spans="1:11" ht="15" thickBot="1" x14ac:dyDescent="0.4">
      <c r="A91" s="94">
        <v>2021</v>
      </c>
      <c r="B91" s="152" t="s">
        <v>52</v>
      </c>
      <c r="C91" s="153">
        <v>44256</v>
      </c>
      <c r="D91" s="158" t="s">
        <v>445</v>
      </c>
      <c r="E91" s="152" t="s">
        <v>443</v>
      </c>
      <c r="F91" s="158">
        <v>250</v>
      </c>
      <c r="G91" s="158">
        <v>8</v>
      </c>
      <c r="H91" s="94">
        <v>10</v>
      </c>
      <c r="I91" s="154">
        <f t="shared" si="4"/>
        <v>0.8</v>
      </c>
    </row>
    <row r="92" spans="1:11" ht="15" thickBot="1" x14ac:dyDescent="0.4">
      <c r="A92" s="94">
        <v>2021</v>
      </c>
      <c r="B92" s="152" t="s">
        <v>52</v>
      </c>
      <c r="C92" s="153">
        <v>44256</v>
      </c>
      <c r="D92" s="158" t="s">
        <v>448</v>
      </c>
      <c r="E92" s="152" t="s">
        <v>443</v>
      </c>
      <c r="F92" s="158">
        <v>250</v>
      </c>
      <c r="G92" s="158">
        <v>10</v>
      </c>
      <c r="H92" s="94">
        <v>10</v>
      </c>
      <c r="I92" s="154">
        <f t="shared" si="4"/>
        <v>1</v>
      </c>
    </row>
    <row r="93" spans="1:11" ht="15" thickBot="1" x14ac:dyDescent="0.4">
      <c r="A93" s="94">
        <v>2021</v>
      </c>
      <c r="B93" s="152" t="s">
        <v>52</v>
      </c>
      <c r="C93" s="153">
        <v>44256</v>
      </c>
      <c r="D93" s="158" t="s">
        <v>449</v>
      </c>
      <c r="E93" s="152" t="s">
        <v>443</v>
      </c>
      <c r="F93" s="158">
        <v>250</v>
      </c>
      <c r="G93" s="158">
        <v>10</v>
      </c>
      <c r="H93" s="94">
        <v>10</v>
      </c>
      <c r="I93" s="154">
        <f t="shared" si="4"/>
        <v>1</v>
      </c>
    </row>
    <row r="94" spans="1:11" ht="15" thickBot="1" x14ac:dyDescent="0.4">
      <c r="A94" s="94">
        <v>2021</v>
      </c>
      <c r="B94" s="152" t="s">
        <v>52</v>
      </c>
      <c r="C94" s="153">
        <v>44256</v>
      </c>
      <c r="D94" s="158" t="s">
        <v>446</v>
      </c>
      <c r="E94" s="152" t="s">
        <v>443</v>
      </c>
      <c r="F94" s="158">
        <v>250</v>
      </c>
      <c r="G94" s="158">
        <v>9</v>
      </c>
      <c r="H94" s="94">
        <v>10</v>
      </c>
      <c r="I94" s="154">
        <f t="shared" si="4"/>
        <v>0.9</v>
      </c>
    </row>
    <row r="95" spans="1:11" ht="15" thickBot="1" x14ac:dyDescent="0.4">
      <c r="A95" s="94">
        <v>2021</v>
      </c>
      <c r="B95" s="94" t="s">
        <v>52</v>
      </c>
      <c r="C95" s="155">
        <v>44388</v>
      </c>
      <c r="D95" s="158" t="s">
        <v>448</v>
      </c>
      <c r="E95" s="152" t="s">
        <v>443</v>
      </c>
      <c r="F95" s="158">
        <v>250</v>
      </c>
      <c r="G95" s="158">
        <v>9</v>
      </c>
      <c r="H95" s="94">
        <v>10</v>
      </c>
      <c r="I95" s="154">
        <f t="shared" si="4"/>
        <v>0.9</v>
      </c>
      <c r="J95" t="s">
        <v>138</v>
      </c>
      <c r="K95" s="160">
        <f>AVERAGE(I88:I101)</f>
        <v>0.7142857142857143</v>
      </c>
    </row>
    <row r="96" spans="1:11" ht="15" thickBot="1" x14ac:dyDescent="0.4">
      <c r="A96" s="94">
        <v>2021</v>
      </c>
      <c r="B96" s="94" t="s">
        <v>52</v>
      </c>
      <c r="C96" s="155">
        <v>44388</v>
      </c>
      <c r="D96" s="158" t="s">
        <v>445</v>
      </c>
      <c r="E96" s="152" t="s">
        <v>443</v>
      </c>
      <c r="F96" s="158">
        <v>250</v>
      </c>
      <c r="G96" s="158">
        <v>5</v>
      </c>
      <c r="H96" s="94">
        <v>10</v>
      </c>
      <c r="I96" s="154">
        <f t="shared" si="4"/>
        <v>0.5</v>
      </c>
      <c r="J96" t="s">
        <v>442</v>
      </c>
      <c r="K96">
        <f>MODE(G88:G101)</f>
        <v>6</v>
      </c>
    </row>
    <row r="97" spans="1:11" ht="15" thickBot="1" x14ac:dyDescent="0.4">
      <c r="A97" s="94">
        <v>2021</v>
      </c>
      <c r="B97" s="94" t="s">
        <v>52</v>
      </c>
      <c r="C97" s="155">
        <v>44388</v>
      </c>
      <c r="D97" s="158" t="s">
        <v>449</v>
      </c>
      <c r="E97" s="152" t="s">
        <v>443</v>
      </c>
      <c r="F97" s="158">
        <v>250</v>
      </c>
      <c r="G97" s="158">
        <v>6</v>
      </c>
      <c r="H97" s="94">
        <v>10</v>
      </c>
      <c r="I97" s="154">
        <f t="shared" si="4"/>
        <v>0.6</v>
      </c>
      <c r="J97" t="s">
        <v>444</v>
      </c>
      <c r="K97">
        <f>COUNT(I88:I101)</f>
        <v>14</v>
      </c>
    </row>
    <row r="98" spans="1:11" ht="15" thickBot="1" x14ac:dyDescent="0.4">
      <c r="A98" s="94">
        <v>2021</v>
      </c>
      <c r="B98" s="94" t="s">
        <v>52</v>
      </c>
      <c r="C98" s="155">
        <v>44438</v>
      </c>
      <c r="D98" s="158" t="s">
        <v>448</v>
      </c>
      <c r="E98" s="152" t="s">
        <v>443</v>
      </c>
      <c r="F98" s="158">
        <v>260</v>
      </c>
      <c r="G98" s="158">
        <v>6</v>
      </c>
      <c r="H98" s="94">
        <v>10</v>
      </c>
      <c r="I98" s="154">
        <f t="shared" si="4"/>
        <v>0.6</v>
      </c>
    </row>
    <row r="99" spans="1:11" ht="15" thickBot="1" x14ac:dyDescent="0.4">
      <c r="A99" s="94">
        <v>2021</v>
      </c>
      <c r="B99" s="94" t="s">
        <v>52</v>
      </c>
      <c r="C99" s="155">
        <v>44494</v>
      </c>
      <c r="D99" s="158" t="s">
        <v>448</v>
      </c>
      <c r="E99" s="152" t="s">
        <v>443</v>
      </c>
      <c r="F99" s="158">
        <v>260</v>
      </c>
      <c r="G99" s="158">
        <v>8</v>
      </c>
      <c r="H99" s="94">
        <v>10</v>
      </c>
      <c r="I99" s="154">
        <f t="shared" si="4"/>
        <v>0.8</v>
      </c>
    </row>
    <row r="100" spans="1:11" ht="15" thickBot="1" x14ac:dyDescent="0.4">
      <c r="A100" s="94">
        <v>2021</v>
      </c>
      <c r="B100" s="94" t="s">
        <v>52</v>
      </c>
      <c r="C100" s="155">
        <v>44494</v>
      </c>
      <c r="D100" s="158" t="s">
        <v>445</v>
      </c>
      <c r="E100" s="152" t="s">
        <v>443</v>
      </c>
      <c r="F100" s="158">
        <v>260</v>
      </c>
      <c r="G100" s="158">
        <v>6</v>
      </c>
      <c r="H100" s="94">
        <v>10</v>
      </c>
      <c r="I100" s="154">
        <f t="shared" si="4"/>
        <v>0.6</v>
      </c>
    </row>
    <row r="101" spans="1:11" x14ac:dyDescent="0.35">
      <c r="A101" s="94">
        <v>2021</v>
      </c>
      <c r="B101" s="94" t="s">
        <v>52</v>
      </c>
      <c r="C101" s="155">
        <v>44494</v>
      </c>
      <c r="D101" s="158" t="s">
        <v>449</v>
      </c>
      <c r="E101" s="152" t="s">
        <v>443</v>
      </c>
      <c r="F101" s="158">
        <v>260</v>
      </c>
      <c r="G101" s="158">
        <v>6</v>
      </c>
      <c r="H101" s="94">
        <v>10</v>
      </c>
      <c r="I101" s="154">
        <f t="shared" si="4"/>
        <v>0.6</v>
      </c>
    </row>
    <row r="102" spans="1:11" x14ac:dyDescent="0.35">
      <c r="A102" s="94"/>
      <c r="B102" s="94"/>
      <c r="C102" s="94"/>
      <c r="D102" s="94"/>
      <c r="E102" s="94"/>
      <c r="F102" s="94"/>
      <c r="G102" s="94"/>
      <c r="H102" s="94"/>
      <c r="I102" s="94"/>
    </row>
    <row r="103" spans="1:11" x14ac:dyDescent="0.35">
      <c r="A103" s="94">
        <v>2022</v>
      </c>
      <c r="B103" s="94" t="s">
        <v>52</v>
      </c>
      <c r="C103" s="155">
        <v>44564</v>
      </c>
      <c r="D103" s="152" t="s">
        <v>448</v>
      </c>
      <c r="E103" s="152" t="s">
        <v>443</v>
      </c>
      <c r="F103" s="152">
        <v>260</v>
      </c>
      <c r="G103" s="152">
        <v>6</v>
      </c>
      <c r="H103" s="94">
        <v>10</v>
      </c>
      <c r="I103" s="156">
        <f t="shared" ref="I103:I121" si="5">G103/H103</f>
        <v>0.6</v>
      </c>
    </row>
    <row r="104" spans="1:11" x14ac:dyDescent="0.35">
      <c r="A104" s="94">
        <v>2022</v>
      </c>
      <c r="B104" s="94" t="s">
        <v>52</v>
      </c>
      <c r="C104" s="155">
        <v>44564</v>
      </c>
      <c r="D104" s="152" t="s">
        <v>445</v>
      </c>
      <c r="E104" s="152" t="s">
        <v>443</v>
      </c>
      <c r="F104" s="152">
        <v>260</v>
      </c>
      <c r="G104" s="152">
        <v>3</v>
      </c>
      <c r="H104" s="94">
        <v>10</v>
      </c>
      <c r="I104" s="156">
        <f t="shared" si="5"/>
        <v>0.3</v>
      </c>
    </row>
    <row r="105" spans="1:11" x14ac:dyDescent="0.35">
      <c r="A105" s="94">
        <v>2022</v>
      </c>
      <c r="B105" s="94" t="s">
        <v>52</v>
      </c>
      <c r="C105" s="155">
        <v>44564</v>
      </c>
      <c r="D105" s="152" t="s">
        <v>449</v>
      </c>
      <c r="E105" s="152" t="s">
        <v>443</v>
      </c>
      <c r="F105" s="152">
        <v>260</v>
      </c>
      <c r="G105" s="152">
        <v>9</v>
      </c>
      <c r="H105" s="94">
        <v>10</v>
      </c>
      <c r="I105" s="156">
        <f t="shared" si="5"/>
        <v>0.9</v>
      </c>
    </row>
    <row r="106" spans="1:11" x14ac:dyDescent="0.35">
      <c r="A106" s="94">
        <v>2022</v>
      </c>
      <c r="B106" s="94" t="s">
        <v>52</v>
      </c>
      <c r="C106" s="155">
        <v>44564</v>
      </c>
      <c r="D106" s="152" t="s">
        <v>441</v>
      </c>
      <c r="E106" s="152" t="s">
        <v>447</v>
      </c>
      <c r="F106" s="152">
        <v>260</v>
      </c>
      <c r="G106" s="152">
        <v>4</v>
      </c>
      <c r="H106" s="94">
        <v>10</v>
      </c>
      <c r="I106" s="156">
        <f t="shared" si="5"/>
        <v>0.4</v>
      </c>
    </row>
    <row r="107" spans="1:11" x14ac:dyDescent="0.35">
      <c r="A107" s="94">
        <v>2022</v>
      </c>
      <c r="B107" s="94" t="s">
        <v>52</v>
      </c>
      <c r="C107" s="155">
        <v>44564</v>
      </c>
      <c r="D107" s="152" t="s">
        <v>441</v>
      </c>
      <c r="E107" s="152" t="s">
        <v>439</v>
      </c>
      <c r="F107" s="152">
        <v>260</v>
      </c>
      <c r="G107" s="152">
        <v>3</v>
      </c>
      <c r="H107" s="94">
        <v>10</v>
      </c>
      <c r="I107" s="156">
        <f t="shared" si="5"/>
        <v>0.3</v>
      </c>
    </row>
    <row r="108" spans="1:11" x14ac:dyDescent="0.35">
      <c r="A108" s="94">
        <v>2022</v>
      </c>
      <c r="B108" s="94" t="s">
        <v>52</v>
      </c>
      <c r="C108" s="155">
        <v>44683</v>
      </c>
      <c r="D108" s="152" t="s">
        <v>445</v>
      </c>
      <c r="E108" s="152" t="s">
        <v>443</v>
      </c>
      <c r="F108" s="152">
        <v>260</v>
      </c>
      <c r="G108" s="152">
        <v>4</v>
      </c>
      <c r="H108" s="94">
        <v>10</v>
      </c>
      <c r="I108" s="156">
        <f t="shared" si="5"/>
        <v>0.4</v>
      </c>
    </row>
    <row r="109" spans="1:11" x14ac:dyDescent="0.35">
      <c r="A109" s="94">
        <v>2022</v>
      </c>
      <c r="B109" s="94" t="s">
        <v>52</v>
      </c>
      <c r="C109" s="155">
        <v>44683</v>
      </c>
      <c r="D109" s="152" t="s">
        <v>440</v>
      </c>
      <c r="E109" s="152" t="s">
        <v>447</v>
      </c>
      <c r="F109" s="152">
        <v>260</v>
      </c>
      <c r="G109" s="152">
        <v>4</v>
      </c>
      <c r="H109" s="94">
        <v>10</v>
      </c>
      <c r="I109" s="156">
        <f t="shared" si="5"/>
        <v>0.4</v>
      </c>
    </row>
    <row r="110" spans="1:11" x14ac:dyDescent="0.35">
      <c r="A110" s="94">
        <v>2022</v>
      </c>
      <c r="B110" s="94" t="s">
        <v>52</v>
      </c>
      <c r="C110" s="155">
        <v>44683</v>
      </c>
      <c r="D110" s="152" t="s">
        <v>440</v>
      </c>
      <c r="E110" s="152" t="s">
        <v>439</v>
      </c>
      <c r="F110" s="152">
        <v>260</v>
      </c>
      <c r="G110" s="152">
        <v>9</v>
      </c>
      <c r="H110" s="94">
        <v>10</v>
      </c>
      <c r="I110" s="156">
        <f t="shared" si="5"/>
        <v>0.9</v>
      </c>
      <c r="J110" t="s">
        <v>137</v>
      </c>
      <c r="K110" s="160">
        <f>AVERAGE(I103:I121)</f>
        <v>0.55263157894736836</v>
      </c>
    </row>
    <row r="111" spans="1:11" x14ac:dyDescent="0.35">
      <c r="A111" s="94">
        <v>2022</v>
      </c>
      <c r="B111" s="94" t="s">
        <v>52</v>
      </c>
      <c r="C111" s="155">
        <v>44746</v>
      </c>
      <c r="D111" s="152" t="s">
        <v>445</v>
      </c>
      <c r="E111" s="152" t="s">
        <v>443</v>
      </c>
      <c r="F111" s="152">
        <v>260</v>
      </c>
      <c r="G111" s="152">
        <v>5</v>
      </c>
      <c r="H111" s="94">
        <v>10</v>
      </c>
      <c r="I111" s="156">
        <f t="shared" si="5"/>
        <v>0.5</v>
      </c>
      <c r="J111" t="s">
        <v>442</v>
      </c>
      <c r="K111">
        <f>MODE(G103:G121)</f>
        <v>4</v>
      </c>
    </row>
    <row r="112" spans="1:11" x14ac:dyDescent="0.35">
      <c r="A112" s="94">
        <v>2022</v>
      </c>
      <c r="B112" s="94" t="s">
        <v>52</v>
      </c>
      <c r="C112" s="155">
        <v>44746</v>
      </c>
      <c r="D112" s="152" t="s">
        <v>445</v>
      </c>
      <c r="E112" s="152" t="s">
        <v>443</v>
      </c>
      <c r="F112" s="152">
        <v>260</v>
      </c>
      <c r="G112" s="152">
        <v>5</v>
      </c>
      <c r="H112" s="94">
        <v>10</v>
      </c>
      <c r="I112" s="156">
        <f t="shared" si="5"/>
        <v>0.5</v>
      </c>
      <c r="J112" t="s">
        <v>444</v>
      </c>
      <c r="K112">
        <f>COUNT(I103:I121)</f>
        <v>19</v>
      </c>
    </row>
    <row r="113" spans="1:11" x14ac:dyDescent="0.35">
      <c r="A113" s="94">
        <v>2022</v>
      </c>
      <c r="B113" s="94" t="s">
        <v>52</v>
      </c>
      <c r="C113" s="155">
        <v>44746</v>
      </c>
      <c r="D113" s="152" t="s">
        <v>440</v>
      </c>
      <c r="E113" s="152" t="s">
        <v>447</v>
      </c>
      <c r="F113" s="152">
        <v>260</v>
      </c>
      <c r="G113" s="152">
        <v>8</v>
      </c>
      <c r="H113" s="94">
        <v>10</v>
      </c>
      <c r="I113" s="156">
        <f t="shared" si="5"/>
        <v>0.8</v>
      </c>
    </row>
    <row r="114" spans="1:11" x14ac:dyDescent="0.35">
      <c r="A114" s="94">
        <v>2022</v>
      </c>
      <c r="B114" s="94" t="s">
        <v>52</v>
      </c>
      <c r="C114" s="155">
        <v>44746</v>
      </c>
      <c r="D114" s="152" t="s">
        <v>440</v>
      </c>
      <c r="E114" s="152" t="s">
        <v>439</v>
      </c>
      <c r="F114" s="152">
        <v>260</v>
      </c>
      <c r="G114" s="152">
        <v>4</v>
      </c>
      <c r="H114" s="94">
        <v>10</v>
      </c>
      <c r="I114" s="156">
        <f t="shared" si="5"/>
        <v>0.4</v>
      </c>
    </row>
    <row r="115" spans="1:11" x14ac:dyDescent="0.35">
      <c r="A115" s="94">
        <v>2022</v>
      </c>
      <c r="B115" s="94" t="s">
        <v>52</v>
      </c>
      <c r="C115" s="155">
        <v>44802</v>
      </c>
      <c r="D115" s="152" t="s">
        <v>445</v>
      </c>
      <c r="E115" s="152" t="s">
        <v>443</v>
      </c>
      <c r="F115" s="152">
        <v>260</v>
      </c>
      <c r="G115" s="152">
        <v>10</v>
      </c>
      <c r="H115" s="94">
        <v>10</v>
      </c>
      <c r="I115" s="156">
        <f t="shared" si="5"/>
        <v>1</v>
      </c>
    </row>
    <row r="116" spans="1:11" x14ac:dyDescent="0.35">
      <c r="A116" s="94">
        <v>2022</v>
      </c>
      <c r="B116" s="94" t="s">
        <v>52</v>
      </c>
      <c r="C116" s="155">
        <v>44802</v>
      </c>
      <c r="D116" s="152" t="s">
        <v>445</v>
      </c>
      <c r="E116" s="152" t="s">
        <v>443</v>
      </c>
      <c r="F116" s="152">
        <v>260</v>
      </c>
      <c r="G116" s="152">
        <v>4</v>
      </c>
      <c r="H116" s="94">
        <v>10</v>
      </c>
      <c r="I116" s="156">
        <f t="shared" si="5"/>
        <v>0.4</v>
      </c>
    </row>
    <row r="117" spans="1:11" x14ac:dyDescent="0.35">
      <c r="A117" s="94">
        <v>2022</v>
      </c>
      <c r="B117" s="94" t="s">
        <v>52</v>
      </c>
      <c r="C117" s="155">
        <v>44802</v>
      </c>
      <c r="D117" s="152" t="s">
        <v>441</v>
      </c>
      <c r="E117" s="152" t="s">
        <v>439</v>
      </c>
      <c r="F117" s="152">
        <v>260</v>
      </c>
      <c r="G117" s="152">
        <v>3</v>
      </c>
      <c r="H117" s="94">
        <v>10</v>
      </c>
      <c r="I117" s="156">
        <f t="shared" si="5"/>
        <v>0.3</v>
      </c>
    </row>
    <row r="118" spans="1:11" x14ac:dyDescent="0.35">
      <c r="A118" s="94">
        <v>2022</v>
      </c>
      <c r="B118" s="94" t="s">
        <v>52</v>
      </c>
      <c r="C118" s="155">
        <v>44858</v>
      </c>
      <c r="D118" s="152" t="s">
        <v>445</v>
      </c>
      <c r="E118" s="152" t="s">
        <v>443</v>
      </c>
      <c r="F118" s="152">
        <v>260</v>
      </c>
      <c r="G118" s="152">
        <v>11</v>
      </c>
      <c r="H118" s="94">
        <v>11</v>
      </c>
      <c r="I118" s="156">
        <f t="shared" si="5"/>
        <v>1</v>
      </c>
    </row>
    <row r="119" spans="1:11" x14ac:dyDescent="0.35">
      <c r="A119" s="94">
        <v>2022</v>
      </c>
      <c r="B119" s="94" t="s">
        <v>52</v>
      </c>
      <c r="C119" s="155">
        <v>44858</v>
      </c>
      <c r="D119" s="152" t="s">
        <v>445</v>
      </c>
      <c r="E119" s="152" t="s">
        <v>443</v>
      </c>
      <c r="F119" s="152">
        <v>260</v>
      </c>
      <c r="G119" s="152">
        <v>7</v>
      </c>
      <c r="H119" s="94">
        <v>10</v>
      </c>
      <c r="I119" s="156">
        <f t="shared" si="5"/>
        <v>0.7</v>
      </c>
    </row>
    <row r="120" spans="1:11" x14ac:dyDescent="0.35">
      <c r="A120" s="94">
        <v>2022</v>
      </c>
      <c r="B120" s="94" t="s">
        <v>52</v>
      </c>
      <c r="C120" s="155">
        <v>44858</v>
      </c>
      <c r="D120" s="152" t="s">
        <v>446</v>
      </c>
      <c r="E120" s="152" t="s">
        <v>443</v>
      </c>
      <c r="F120" s="152">
        <v>260</v>
      </c>
      <c r="G120" s="152">
        <v>2</v>
      </c>
      <c r="H120" s="94">
        <v>10</v>
      </c>
      <c r="I120" s="156">
        <f t="shared" si="5"/>
        <v>0.2</v>
      </c>
    </row>
    <row r="121" spans="1:11" x14ac:dyDescent="0.35">
      <c r="A121" s="94">
        <v>2022</v>
      </c>
      <c r="B121" s="94" t="s">
        <v>52</v>
      </c>
      <c r="C121" s="155">
        <v>44858</v>
      </c>
      <c r="D121" s="152" t="s">
        <v>440</v>
      </c>
      <c r="E121" s="152" t="s">
        <v>447</v>
      </c>
      <c r="F121" s="152">
        <v>260</v>
      </c>
      <c r="G121" s="152">
        <v>5</v>
      </c>
      <c r="H121" s="94">
        <v>10</v>
      </c>
      <c r="I121" s="156">
        <f t="shared" si="5"/>
        <v>0.5</v>
      </c>
    </row>
    <row r="123" spans="1:11" ht="15" thickBot="1" x14ac:dyDescent="0.4">
      <c r="A123" s="157" t="s">
        <v>34</v>
      </c>
      <c r="B123" s="157" t="s">
        <v>54</v>
      </c>
    </row>
    <row r="124" spans="1:11" ht="15" thickBot="1" x14ac:dyDescent="0.4">
      <c r="A124" s="148" t="s">
        <v>428</v>
      </c>
      <c r="B124" s="149" t="s">
        <v>34</v>
      </c>
      <c r="C124" s="149" t="s">
        <v>429</v>
      </c>
      <c r="D124" s="149" t="s">
        <v>430</v>
      </c>
      <c r="E124" s="149" t="s">
        <v>431</v>
      </c>
      <c r="F124" s="149" t="s">
        <v>432</v>
      </c>
      <c r="G124" s="149" t="s">
        <v>433</v>
      </c>
      <c r="H124" s="150" t="s">
        <v>434</v>
      </c>
      <c r="I124" s="151" t="s">
        <v>435</v>
      </c>
    </row>
    <row r="125" spans="1:11" ht="15" thickBot="1" x14ac:dyDescent="0.4">
      <c r="A125" s="94">
        <v>2021</v>
      </c>
      <c r="B125" s="152" t="s">
        <v>54</v>
      </c>
      <c r="C125" s="153">
        <v>44256</v>
      </c>
      <c r="D125" s="158" t="s">
        <v>440</v>
      </c>
      <c r="E125" s="152" t="s">
        <v>439</v>
      </c>
      <c r="F125" s="158">
        <v>250</v>
      </c>
      <c r="G125" s="158">
        <v>5</v>
      </c>
      <c r="H125" s="94">
        <v>10</v>
      </c>
      <c r="I125" s="154">
        <f t="shared" ref="I125:I130" si="6">G125/H125</f>
        <v>0.5</v>
      </c>
    </row>
    <row r="126" spans="1:11" ht="15" thickBot="1" x14ac:dyDescent="0.4">
      <c r="A126" s="94">
        <v>2021</v>
      </c>
      <c r="B126" s="94" t="s">
        <v>54</v>
      </c>
      <c r="C126" s="155">
        <v>44494</v>
      </c>
      <c r="D126" s="158" t="s">
        <v>440</v>
      </c>
      <c r="E126" s="152" t="s">
        <v>439</v>
      </c>
      <c r="F126" s="158">
        <v>260</v>
      </c>
      <c r="G126" s="158">
        <v>4</v>
      </c>
      <c r="H126" s="94">
        <v>10</v>
      </c>
      <c r="I126" s="154">
        <f t="shared" si="6"/>
        <v>0.4</v>
      </c>
    </row>
    <row r="127" spans="1:11" ht="15" thickBot="1" x14ac:dyDescent="0.4">
      <c r="A127" s="94">
        <v>2021</v>
      </c>
      <c r="B127" s="94" t="s">
        <v>54</v>
      </c>
      <c r="C127" s="155">
        <v>44388</v>
      </c>
      <c r="D127" s="158" t="s">
        <v>446</v>
      </c>
      <c r="E127" s="152" t="s">
        <v>443</v>
      </c>
      <c r="F127" s="158">
        <v>250</v>
      </c>
      <c r="G127" s="158">
        <v>11</v>
      </c>
      <c r="H127" s="94">
        <v>11</v>
      </c>
      <c r="I127" s="154">
        <f t="shared" si="6"/>
        <v>1</v>
      </c>
      <c r="J127" t="s">
        <v>138</v>
      </c>
      <c r="K127" s="160">
        <f>AVERAGE(I125:I130)</f>
        <v>0.6</v>
      </c>
    </row>
    <row r="128" spans="1:11" ht="15" thickBot="1" x14ac:dyDescent="0.4">
      <c r="A128" s="94">
        <v>2021</v>
      </c>
      <c r="B128" s="94" t="s">
        <v>54</v>
      </c>
      <c r="C128" s="155">
        <v>44438</v>
      </c>
      <c r="D128" s="158" t="s">
        <v>449</v>
      </c>
      <c r="E128" s="152" t="s">
        <v>443</v>
      </c>
      <c r="F128" s="158">
        <v>260</v>
      </c>
      <c r="G128" s="158">
        <v>7</v>
      </c>
      <c r="H128" s="94">
        <v>10</v>
      </c>
      <c r="I128" s="154">
        <f t="shared" si="6"/>
        <v>0.7</v>
      </c>
      <c r="J128" t="s">
        <v>442</v>
      </c>
      <c r="K128">
        <f>MODE(G125:G130)</f>
        <v>7</v>
      </c>
    </row>
    <row r="129" spans="1:11" ht="15" thickBot="1" x14ac:dyDescent="0.4">
      <c r="A129" s="94">
        <v>2021</v>
      </c>
      <c r="B129" s="94" t="s">
        <v>54</v>
      </c>
      <c r="C129" s="155">
        <v>44494</v>
      </c>
      <c r="D129" s="158" t="s">
        <v>448</v>
      </c>
      <c r="E129" s="152" t="s">
        <v>443</v>
      </c>
      <c r="F129" s="158">
        <v>260</v>
      </c>
      <c r="G129" s="158">
        <v>3</v>
      </c>
      <c r="H129" s="94">
        <v>10</v>
      </c>
      <c r="I129" s="154">
        <f t="shared" si="6"/>
        <v>0.3</v>
      </c>
      <c r="J129" t="s">
        <v>444</v>
      </c>
      <c r="K129">
        <f>COUNT(I125:I130)</f>
        <v>6</v>
      </c>
    </row>
    <row r="130" spans="1:11" x14ac:dyDescent="0.35">
      <c r="A130" s="94">
        <v>2021</v>
      </c>
      <c r="B130" s="94" t="s">
        <v>54</v>
      </c>
      <c r="C130" s="155">
        <v>44494</v>
      </c>
      <c r="D130" s="158" t="s">
        <v>449</v>
      </c>
      <c r="E130" s="152" t="s">
        <v>443</v>
      </c>
      <c r="F130" s="158">
        <v>260</v>
      </c>
      <c r="G130" s="158">
        <v>7</v>
      </c>
      <c r="H130" s="94">
        <v>10</v>
      </c>
      <c r="I130" s="154">
        <f t="shared" si="6"/>
        <v>0.7</v>
      </c>
    </row>
    <row r="131" spans="1:11" x14ac:dyDescent="0.35">
      <c r="A131" s="94"/>
      <c r="B131" s="94"/>
      <c r="C131" s="94"/>
      <c r="D131" s="94"/>
      <c r="E131" s="94"/>
      <c r="F131" s="152"/>
      <c r="G131" s="153"/>
      <c r="H131" s="152"/>
      <c r="I131" s="152"/>
    </row>
    <row r="132" spans="1:11" x14ac:dyDescent="0.35">
      <c r="A132" s="94">
        <v>2022</v>
      </c>
      <c r="B132" s="94" t="s">
        <v>54</v>
      </c>
      <c r="C132" s="155">
        <v>44564</v>
      </c>
      <c r="D132" s="152" t="s">
        <v>448</v>
      </c>
      <c r="E132" s="152" t="s">
        <v>443</v>
      </c>
      <c r="F132" s="152">
        <v>260</v>
      </c>
      <c r="G132" s="152">
        <v>4</v>
      </c>
      <c r="H132" s="94">
        <v>10</v>
      </c>
      <c r="I132" s="156">
        <f t="shared" ref="I132:I145" si="7">G132/H132</f>
        <v>0.4</v>
      </c>
    </row>
    <row r="133" spans="1:11" x14ac:dyDescent="0.35">
      <c r="A133" s="94">
        <v>2022</v>
      </c>
      <c r="B133" s="94" t="s">
        <v>54</v>
      </c>
      <c r="C133" s="155">
        <v>44564</v>
      </c>
      <c r="D133" s="152" t="s">
        <v>449</v>
      </c>
      <c r="E133" s="152" t="s">
        <v>443</v>
      </c>
      <c r="F133" s="152">
        <v>260</v>
      </c>
      <c r="G133" s="152">
        <v>9</v>
      </c>
      <c r="H133" s="94">
        <v>10</v>
      </c>
      <c r="I133" s="156">
        <f t="shared" si="7"/>
        <v>0.9</v>
      </c>
    </row>
    <row r="134" spans="1:11" x14ac:dyDescent="0.35">
      <c r="A134" s="94">
        <v>2022</v>
      </c>
      <c r="B134" s="94" t="s">
        <v>54</v>
      </c>
      <c r="C134" s="155">
        <v>44683</v>
      </c>
      <c r="D134" s="152" t="s">
        <v>449</v>
      </c>
      <c r="E134" s="152" t="s">
        <v>443</v>
      </c>
      <c r="F134" s="152">
        <v>260</v>
      </c>
      <c r="G134" s="152">
        <v>4</v>
      </c>
      <c r="H134" s="94">
        <v>10</v>
      </c>
      <c r="I134" s="156">
        <f t="shared" si="7"/>
        <v>0.4</v>
      </c>
    </row>
    <row r="135" spans="1:11" x14ac:dyDescent="0.35">
      <c r="A135" s="94">
        <v>2022</v>
      </c>
      <c r="B135" s="94" t="s">
        <v>54</v>
      </c>
      <c r="C135" s="155">
        <v>44683</v>
      </c>
      <c r="D135" s="152" t="s">
        <v>449</v>
      </c>
      <c r="E135" s="152" t="s">
        <v>443</v>
      </c>
      <c r="F135" s="152">
        <v>260</v>
      </c>
      <c r="G135" s="152">
        <v>10</v>
      </c>
      <c r="H135" s="94">
        <v>10</v>
      </c>
      <c r="I135" s="156">
        <f t="shared" si="7"/>
        <v>1</v>
      </c>
    </row>
    <row r="136" spans="1:11" x14ac:dyDescent="0.35">
      <c r="A136" s="94">
        <v>2022</v>
      </c>
      <c r="B136" s="94" t="s">
        <v>54</v>
      </c>
      <c r="C136" s="155">
        <v>44683</v>
      </c>
      <c r="D136" s="152" t="s">
        <v>441</v>
      </c>
      <c r="E136" s="152" t="s">
        <v>447</v>
      </c>
      <c r="F136" s="152">
        <v>260</v>
      </c>
      <c r="G136" s="152">
        <v>5</v>
      </c>
      <c r="H136" s="94">
        <v>10</v>
      </c>
      <c r="I136" s="156">
        <f t="shared" si="7"/>
        <v>0.5</v>
      </c>
      <c r="J136" t="s">
        <v>137</v>
      </c>
      <c r="K136" s="160">
        <f>AVERAGE(I132:I145)</f>
        <v>0.54999999999999993</v>
      </c>
    </row>
    <row r="137" spans="1:11" x14ac:dyDescent="0.35">
      <c r="A137" s="94">
        <v>2022</v>
      </c>
      <c r="B137" s="94" t="s">
        <v>54</v>
      </c>
      <c r="C137" s="155">
        <v>44683</v>
      </c>
      <c r="D137" s="152" t="s">
        <v>441</v>
      </c>
      <c r="E137" s="152" t="s">
        <v>439</v>
      </c>
      <c r="F137" s="152">
        <v>260</v>
      </c>
      <c r="G137" s="152">
        <v>3</v>
      </c>
      <c r="H137" s="94">
        <v>10</v>
      </c>
      <c r="I137" s="156">
        <f t="shared" si="7"/>
        <v>0.3</v>
      </c>
      <c r="J137" t="s">
        <v>442</v>
      </c>
      <c r="K137">
        <f>MODE(G132:G145)</f>
        <v>4</v>
      </c>
    </row>
    <row r="138" spans="1:11" x14ac:dyDescent="0.35">
      <c r="A138" s="94">
        <v>2022</v>
      </c>
      <c r="B138" s="94" t="s">
        <v>54</v>
      </c>
      <c r="C138" s="155">
        <v>44746</v>
      </c>
      <c r="D138" s="152" t="s">
        <v>449</v>
      </c>
      <c r="E138" s="152" t="s">
        <v>443</v>
      </c>
      <c r="F138" s="152">
        <v>260</v>
      </c>
      <c r="G138" s="152">
        <v>6</v>
      </c>
      <c r="H138" s="94">
        <v>10</v>
      </c>
      <c r="I138" s="156">
        <f t="shared" si="7"/>
        <v>0.6</v>
      </c>
      <c r="J138" t="s">
        <v>444</v>
      </c>
      <c r="K138">
        <f>COUNT(I132:I145)</f>
        <v>14</v>
      </c>
    </row>
    <row r="139" spans="1:11" x14ac:dyDescent="0.35">
      <c r="A139" s="94">
        <v>2022</v>
      </c>
      <c r="B139" s="94" t="s">
        <v>54</v>
      </c>
      <c r="C139" s="155">
        <v>44746</v>
      </c>
      <c r="D139" s="152" t="s">
        <v>449</v>
      </c>
      <c r="E139" s="152" t="s">
        <v>443</v>
      </c>
      <c r="F139" s="152">
        <v>260</v>
      </c>
      <c r="G139" s="152">
        <v>5</v>
      </c>
      <c r="H139" s="94">
        <v>10</v>
      </c>
      <c r="I139" s="156">
        <f t="shared" si="7"/>
        <v>0.5</v>
      </c>
    </row>
    <row r="140" spans="1:11" x14ac:dyDescent="0.35">
      <c r="A140" s="94">
        <v>2022</v>
      </c>
      <c r="B140" s="94" t="s">
        <v>54</v>
      </c>
      <c r="C140" s="155">
        <v>44802</v>
      </c>
      <c r="D140" s="152" t="s">
        <v>449</v>
      </c>
      <c r="E140" s="152" t="s">
        <v>443</v>
      </c>
      <c r="F140" s="152">
        <v>260</v>
      </c>
      <c r="G140" s="152">
        <v>4</v>
      </c>
      <c r="H140" s="94">
        <v>10</v>
      </c>
      <c r="I140" s="156">
        <f t="shared" si="7"/>
        <v>0.4</v>
      </c>
    </row>
    <row r="141" spans="1:11" x14ac:dyDescent="0.35">
      <c r="A141" s="94">
        <v>2022</v>
      </c>
      <c r="B141" s="94" t="s">
        <v>54</v>
      </c>
      <c r="C141" s="155">
        <v>44802</v>
      </c>
      <c r="D141" s="152" t="s">
        <v>449</v>
      </c>
      <c r="E141" s="152" t="s">
        <v>443</v>
      </c>
      <c r="F141" s="152">
        <v>260</v>
      </c>
      <c r="G141" s="152">
        <v>6</v>
      </c>
      <c r="H141" s="94">
        <v>10</v>
      </c>
      <c r="I141" s="156">
        <f t="shared" si="7"/>
        <v>0.6</v>
      </c>
    </row>
    <row r="142" spans="1:11" x14ac:dyDescent="0.35">
      <c r="A142" s="94">
        <v>2022</v>
      </c>
      <c r="B142" s="94" t="s">
        <v>54</v>
      </c>
      <c r="C142" s="155">
        <v>44802</v>
      </c>
      <c r="D142" s="152" t="s">
        <v>440</v>
      </c>
      <c r="E142" s="152" t="s">
        <v>447</v>
      </c>
      <c r="F142" s="152">
        <v>260</v>
      </c>
      <c r="G142" s="152">
        <v>6</v>
      </c>
      <c r="H142" s="94">
        <v>10</v>
      </c>
      <c r="I142" s="156">
        <f t="shared" si="7"/>
        <v>0.6</v>
      </c>
    </row>
    <row r="143" spans="1:11" x14ac:dyDescent="0.35">
      <c r="A143" s="94">
        <v>2022</v>
      </c>
      <c r="B143" s="94" t="s">
        <v>54</v>
      </c>
      <c r="C143" s="155">
        <v>44858</v>
      </c>
      <c r="D143" s="152" t="s">
        <v>449</v>
      </c>
      <c r="E143" s="152" t="s">
        <v>443</v>
      </c>
      <c r="F143" s="152">
        <v>260</v>
      </c>
      <c r="G143" s="152">
        <v>6</v>
      </c>
      <c r="H143" s="94">
        <v>10</v>
      </c>
      <c r="I143" s="156">
        <f t="shared" si="7"/>
        <v>0.6</v>
      </c>
    </row>
    <row r="144" spans="1:11" x14ac:dyDescent="0.35">
      <c r="A144" s="94">
        <v>2022</v>
      </c>
      <c r="B144" s="94" t="s">
        <v>54</v>
      </c>
      <c r="C144" s="155">
        <v>44858</v>
      </c>
      <c r="D144" s="152" t="s">
        <v>449</v>
      </c>
      <c r="E144" s="152" t="s">
        <v>443</v>
      </c>
      <c r="F144" s="152">
        <v>260</v>
      </c>
      <c r="G144" s="152">
        <v>5</v>
      </c>
      <c r="H144" s="94">
        <v>10</v>
      </c>
      <c r="I144" s="156">
        <f t="shared" si="7"/>
        <v>0.5</v>
      </c>
    </row>
    <row r="145" spans="1:11" x14ac:dyDescent="0.35">
      <c r="A145" s="94">
        <v>2022</v>
      </c>
      <c r="B145" s="94" t="s">
        <v>54</v>
      </c>
      <c r="C145" s="155">
        <v>44858</v>
      </c>
      <c r="D145" s="152" t="s">
        <v>440</v>
      </c>
      <c r="E145" s="152" t="s">
        <v>447</v>
      </c>
      <c r="F145" s="152">
        <v>260</v>
      </c>
      <c r="G145" s="152">
        <v>4</v>
      </c>
      <c r="H145" s="94">
        <v>10</v>
      </c>
      <c r="I145" s="156">
        <f t="shared" si="7"/>
        <v>0.4</v>
      </c>
    </row>
    <row r="148" spans="1:11" ht="15" thickBot="1" x14ac:dyDescent="0.4">
      <c r="A148" s="157" t="s">
        <v>34</v>
      </c>
      <c r="B148" s="157" t="s">
        <v>56</v>
      </c>
    </row>
    <row r="149" spans="1:11" ht="15" thickBot="1" x14ac:dyDescent="0.4">
      <c r="A149" s="148" t="s">
        <v>428</v>
      </c>
      <c r="B149" s="149" t="s">
        <v>34</v>
      </c>
      <c r="C149" s="149" t="s">
        <v>429</v>
      </c>
      <c r="D149" s="149" t="s">
        <v>430</v>
      </c>
      <c r="E149" s="149" t="s">
        <v>431</v>
      </c>
      <c r="F149" s="149" t="s">
        <v>432</v>
      </c>
      <c r="G149" s="149" t="s">
        <v>433</v>
      </c>
      <c r="H149" s="150" t="s">
        <v>434</v>
      </c>
      <c r="I149" s="151" t="s">
        <v>435</v>
      </c>
    </row>
    <row r="150" spans="1:11" ht="15" thickBot="1" x14ac:dyDescent="0.4">
      <c r="A150" s="94">
        <v>2021</v>
      </c>
      <c r="B150" s="94" t="s">
        <v>56</v>
      </c>
      <c r="C150" s="155">
        <v>44494</v>
      </c>
      <c r="D150" s="158" t="s">
        <v>441</v>
      </c>
      <c r="E150" s="152" t="s">
        <v>439</v>
      </c>
      <c r="F150" s="158">
        <v>180</v>
      </c>
      <c r="G150" s="158">
        <v>7</v>
      </c>
      <c r="H150" s="94">
        <v>10</v>
      </c>
      <c r="I150" s="154">
        <f>G150/H150</f>
        <v>0.7</v>
      </c>
    </row>
    <row r="151" spans="1:11" ht="15" thickBot="1" x14ac:dyDescent="0.4">
      <c r="A151" s="94">
        <v>2021</v>
      </c>
      <c r="B151" s="152" t="s">
        <v>56</v>
      </c>
      <c r="C151" s="153">
        <v>44256</v>
      </c>
      <c r="D151" s="158" t="s">
        <v>445</v>
      </c>
      <c r="E151" s="152" t="s">
        <v>443</v>
      </c>
      <c r="F151" s="158">
        <v>180</v>
      </c>
      <c r="G151" s="158">
        <v>8</v>
      </c>
      <c r="H151" s="94">
        <v>10</v>
      </c>
      <c r="I151" s="154">
        <f>G151/H151</f>
        <v>0.8</v>
      </c>
      <c r="J151" t="s">
        <v>138</v>
      </c>
      <c r="K151" s="160">
        <f>AVERAGE(I150:I153)</f>
        <v>0.7</v>
      </c>
    </row>
    <row r="152" spans="1:11" ht="15" thickBot="1" x14ac:dyDescent="0.4">
      <c r="A152" s="94">
        <v>2021</v>
      </c>
      <c r="B152" s="94" t="s">
        <v>56</v>
      </c>
      <c r="C152" s="155">
        <v>44388</v>
      </c>
      <c r="D152" s="158" t="s">
        <v>445</v>
      </c>
      <c r="E152" s="152" t="s">
        <v>443</v>
      </c>
      <c r="F152" s="158">
        <v>180</v>
      </c>
      <c r="G152" s="158">
        <v>6</v>
      </c>
      <c r="H152" s="94">
        <v>10</v>
      </c>
      <c r="I152" s="154">
        <f>G152/H152</f>
        <v>0.6</v>
      </c>
      <c r="J152" t="s">
        <v>442</v>
      </c>
      <c r="K152">
        <f>MODE(G150:G153)</f>
        <v>7</v>
      </c>
    </row>
    <row r="153" spans="1:11" x14ac:dyDescent="0.35">
      <c r="A153" s="94">
        <v>2021</v>
      </c>
      <c r="B153" s="94" t="s">
        <v>56</v>
      </c>
      <c r="C153" s="155">
        <v>44438</v>
      </c>
      <c r="D153" s="158" t="s">
        <v>445</v>
      </c>
      <c r="E153" s="152" t="s">
        <v>443</v>
      </c>
      <c r="F153" s="158">
        <v>180</v>
      </c>
      <c r="G153" s="158">
        <v>7</v>
      </c>
      <c r="H153" s="94">
        <v>10</v>
      </c>
      <c r="I153" s="154">
        <f>G153/H153</f>
        <v>0.7</v>
      </c>
      <c r="J153" t="s">
        <v>444</v>
      </c>
      <c r="K153">
        <f>COUNT(I150:I153)</f>
        <v>4</v>
      </c>
    </row>
    <row r="154" spans="1:11" x14ac:dyDescent="0.35">
      <c r="A154" s="94"/>
      <c r="B154" s="94"/>
      <c r="C154" s="155"/>
      <c r="D154" s="152"/>
      <c r="E154" s="154"/>
      <c r="F154" s="94"/>
      <c r="G154" s="94"/>
      <c r="H154" s="94"/>
      <c r="I154" s="94"/>
    </row>
    <row r="155" spans="1:11" x14ac:dyDescent="0.35">
      <c r="A155" s="94">
        <v>2022</v>
      </c>
      <c r="B155" s="94" t="s">
        <v>56</v>
      </c>
      <c r="C155" s="155">
        <v>44564</v>
      </c>
      <c r="D155" s="152" t="s">
        <v>441</v>
      </c>
      <c r="E155" s="152" t="s">
        <v>439</v>
      </c>
      <c r="F155" s="152">
        <v>180</v>
      </c>
      <c r="G155" s="152">
        <v>5</v>
      </c>
      <c r="H155" s="94">
        <v>10</v>
      </c>
      <c r="I155" s="156">
        <f t="shared" ref="I155:I165" si="8">G155/H155</f>
        <v>0.5</v>
      </c>
    </row>
    <row r="156" spans="1:11" x14ac:dyDescent="0.35">
      <c r="A156" s="94">
        <v>2022</v>
      </c>
      <c r="B156" s="94" t="s">
        <v>56</v>
      </c>
      <c r="C156" s="155">
        <v>44683</v>
      </c>
      <c r="D156" s="152" t="s">
        <v>441</v>
      </c>
      <c r="E156" s="152" t="s">
        <v>439</v>
      </c>
      <c r="F156" s="152">
        <v>180</v>
      </c>
      <c r="G156" s="152">
        <v>5</v>
      </c>
      <c r="H156" s="94">
        <v>10</v>
      </c>
      <c r="I156" s="156">
        <f t="shared" si="8"/>
        <v>0.5</v>
      </c>
    </row>
    <row r="157" spans="1:11" x14ac:dyDescent="0.35">
      <c r="A157" s="94">
        <v>2022</v>
      </c>
      <c r="B157" s="94" t="s">
        <v>56</v>
      </c>
      <c r="C157" s="155">
        <v>44746</v>
      </c>
      <c r="D157" s="152" t="s">
        <v>445</v>
      </c>
      <c r="E157" s="152" t="s">
        <v>443</v>
      </c>
      <c r="F157" s="152">
        <v>180</v>
      </c>
      <c r="G157" s="152">
        <v>4</v>
      </c>
      <c r="H157" s="94">
        <v>10</v>
      </c>
      <c r="I157" s="156">
        <f t="shared" si="8"/>
        <v>0.4</v>
      </c>
    </row>
    <row r="158" spans="1:11" x14ac:dyDescent="0.35">
      <c r="A158" s="94">
        <v>2022</v>
      </c>
      <c r="B158" s="94" t="s">
        <v>56</v>
      </c>
      <c r="C158" s="155">
        <v>44746</v>
      </c>
      <c r="D158" s="152" t="s">
        <v>440</v>
      </c>
      <c r="E158" s="152" t="s">
        <v>439</v>
      </c>
      <c r="F158" s="152">
        <v>180</v>
      </c>
      <c r="G158" s="152">
        <v>6</v>
      </c>
      <c r="H158" s="94">
        <v>10</v>
      </c>
      <c r="I158" s="156">
        <f t="shared" si="8"/>
        <v>0.6</v>
      </c>
    </row>
    <row r="159" spans="1:11" x14ac:dyDescent="0.35">
      <c r="A159" s="94">
        <v>2022</v>
      </c>
      <c r="B159" s="94" t="s">
        <v>56</v>
      </c>
      <c r="C159" s="155">
        <v>44746</v>
      </c>
      <c r="D159" s="152" t="s">
        <v>441</v>
      </c>
      <c r="E159" s="152" t="s">
        <v>439</v>
      </c>
      <c r="F159" s="152">
        <v>180</v>
      </c>
      <c r="G159" s="152">
        <v>10</v>
      </c>
      <c r="H159" s="94">
        <v>10</v>
      </c>
      <c r="I159" s="156">
        <f t="shared" si="8"/>
        <v>1</v>
      </c>
      <c r="J159" t="s">
        <v>137</v>
      </c>
      <c r="K159" s="160">
        <f>AVERAGE(I155:I165)</f>
        <v>0.61818181818181817</v>
      </c>
    </row>
    <row r="160" spans="1:11" x14ac:dyDescent="0.35">
      <c r="A160" s="94">
        <v>2022</v>
      </c>
      <c r="B160" s="94" t="s">
        <v>56</v>
      </c>
      <c r="C160" s="155">
        <v>44802</v>
      </c>
      <c r="D160" s="152" t="s">
        <v>445</v>
      </c>
      <c r="E160" s="152" t="s">
        <v>443</v>
      </c>
      <c r="F160" s="152">
        <v>180</v>
      </c>
      <c r="G160" s="152">
        <v>8</v>
      </c>
      <c r="H160" s="94">
        <v>10</v>
      </c>
      <c r="I160" s="156">
        <f t="shared" si="8"/>
        <v>0.8</v>
      </c>
      <c r="J160" t="s">
        <v>442</v>
      </c>
      <c r="K160">
        <f>MODE(G155:G165)</f>
        <v>5</v>
      </c>
    </row>
    <row r="161" spans="1:11" x14ac:dyDescent="0.35">
      <c r="A161" s="94">
        <v>2022</v>
      </c>
      <c r="B161" s="94" t="s">
        <v>56</v>
      </c>
      <c r="C161" s="155">
        <v>44802</v>
      </c>
      <c r="D161" s="152" t="s">
        <v>440</v>
      </c>
      <c r="E161" s="152" t="s">
        <v>439</v>
      </c>
      <c r="F161" s="152">
        <v>180</v>
      </c>
      <c r="G161" s="152">
        <v>8</v>
      </c>
      <c r="H161" s="94">
        <v>10</v>
      </c>
      <c r="I161" s="156">
        <f t="shared" si="8"/>
        <v>0.8</v>
      </c>
      <c r="J161" t="s">
        <v>444</v>
      </c>
      <c r="K161">
        <f>COUNT(I155:I165)</f>
        <v>11</v>
      </c>
    </row>
    <row r="162" spans="1:11" x14ac:dyDescent="0.35">
      <c r="A162" s="94">
        <v>2022</v>
      </c>
      <c r="B162" s="94" t="s">
        <v>56</v>
      </c>
      <c r="C162" s="155">
        <v>44802</v>
      </c>
      <c r="D162" s="152" t="s">
        <v>441</v>
      </c>
      <c r="E162" s="152" t="s">
        <v>439</v>
      </c>
      <c r="F162" s="152">
        <v>180</v>
      </c>
      <c r="G162" s="152">
        <v>6</v>
      </c>
      <c r="H162" s="94">
        <v>10</v>
      </c>
      <c r="I162" s="156">
        <f t="shared" si="8"/>
        <v>0.6</v>
      </c>
    </row>
    <row r="163" spans="1:11" x14ac:dyDescent="0.35">
      <c r="A163" s="94">
        <v>2022</v>
      </c>
      <c r="B163" s="94" t="s">
        <v>56</v>
      </c>
      <c r="C163" s="155">
        <v>44858</v>
      </c>
      <c r="D163" s="152" t="s">
        <v>445</v>
      </c>
      <c r="E163" s="152" t="s">
        <v>443</v>
      </c>
      <c r="F163" s="152">
        <v>180</v>
      </c>
      <c r="G163" s="152">
        <v>5</v>
      </c>
      <c r="H163" s="94">
        <v>10</v>
      </c>
      <c r="I163" s="156">
        <f t="shared" si="8"/>
        <v>0.5</v>
      </c>
    </row>
    <row r="164" spans="1:11" x14ac:dyDescent="0.35">
      <c r="A164" s="94">
        <v>2022</v>
      </c>
      <c r="B164" s="94" t="s">
        <v>56</v>
      </c>
      <c r="C164" s="155">
        <v>44858</v>
      </c>
      <c r="D164" s="152" t="s">
        <v>440</v>
      </c>
      <c r="E164" s="152" t="s">
        <v>439</v>
      </c>
      <c r="F164" s="152">
        <v>180</v>
      </c>
      <c r="G164" s="152">
        <v>2</v>
      </c>
      <c r="H164" s="94">
        <v>10</v>
      </c>
      <c r="I164" s="156">
        <f t="shared" si="8"/>
        <v>0.2</v>
      </c>
    </row>
    <row r="165" spans="1:11" x14ac:dyDescent="0.35">
      <c r="A165" s="94">
        <v>2022</v>
      </c>
      <c r="B165" s="94" t="s">
        <v>56</v>
      </c>
      <c r="C165" s="155">
        <v>44858</v>
      </c>
      <c r="D165" s="152" t="s">
        <v>441</v>
      </c>
      <c r="E165" s="152" t="s">
        <v>439</v>
      </c>
      <c r="F165" s="152">
        <v>260</v>
      </c>
      <c r="G165" s="152">
        <v>9</v>
      </c>
      <c r="H165" s="94">
        <v>10</v>
      </c>
      <c r="I165" s="156">
        <f t="shared" si="8"/>
        <v>0.9</v>
      </c>
    </row>
    <row r="167" spans="1:11" x14ac:dyDescent="0.35">
      <c r="A167" s="157" t="s">
        <v>34</v>
      </c>
      <c r="B167" s="157" t="s">
        <v>48</v>
      </c>
    </row>
    <row r="168" spans="1:11" x14ac:dyDescent="0.35">
      <c r="A168" s="168" t="s">
        <v>428</v>
      </c>
      <c r="B168" s="169" t="s">
        <v>34</v>
      </c>
      <c r="C168" s="169" t="s">
        <v>429</v>
      </c>
      <c r="D168" s="169" t="s">
        <v>430</v>
      </c>
      <c r="E168" s="169" t="s">
        <v>431</v>
      </c>
      <c r="F168" s="169" t="s">
        <v>432</v>
      </c>
      <c r="G168" s="169" t="s">
        <v>433</v>
      </c>
      <c r="H168" s="170" t="s">
        <v>434</v>
      </c>
      <c r="I168" s="170" t="s">
        <v>435</v>
      </c>
    </row>
    <row r="169" spans="1:11" x14ac:dyDescent="0.35">
      <c r="A169" s="95">
        <v>2022</v>
      </c>
      <c r="B169" s="95" t="s">
        <v>48</v>
      </c>
      <c r="C169" s="171">
        <v>44564</v>
      </c>
      <c r="D169" s="172" t="s">
        <v>445</v>
      </c>
      <c r="E169" s="172" t="s">
        <v>443</v>
      </c>
      <c r="F169" s="172">
        <v>260</v>
      </c>
      <c r="G169" s="172">
        <v>4</v>
      </c>
      <c r="H169" s="95">
        <v>10</v>
      </c>
      <c r="I169" s="173">
        <v>0.4</v>
      </c>
    </row>
    <row r="170" spans="1:11" x14ac:dyDescent="0.35">
      <c r="A170" s="95">
        <v>2022</v>
      </c>
      <c r="B170" s="95" t="s">
        <v>48</v>
      </c>
      <c r="C170" s="171">
        <v>44564</v>
      </c>
      <c r="D170" s="172" t="s">
        <v>449</v>
      </c>
      <c r="E170" s="172" t="s">
        <v>443</v>
      </c>
      <c r="F170" s="172">
        <v>260</v>
      </c>
      <c r="G170" s="172">
        <v>10</v>
      </c>
      <c r="H170" s="95">
        <v>10</v>
      </c>
      <c r="I170" s="173">
        <v>1</v>
      </c>
    </row>
    <row r="171" spans="1:11" x14ac:dyDescent="0.35">
      <c r="A171" s="95">
        <v>2022</v>
      </c>
      <c r="B171" s="95" t="s">
        <v>48</v>
      </c>
      <c r="C171" s="171">
        <v>44564</v>
      </c>
      <c r="D171" s="172" t="s">
        <v>446</v>
      </c>
      <c r="E171" s="172" t="s">
        <v>443</v>
      </c>
      <c r="F171" s="172">
        <v>260</v>
      </c>
      <c r="G171" s="172">
        <v>7</v>
      </c>
      <c r="H171" s="95">
        <v>10</v>
      </c>
      <c r="I171" s="173">
        <v>0.7</v>
      </c>
    </row>
    <row r="172" spans="1:11" x14ac:dyDescent="0.35">
      <c r="A172" s="95">
        <v>2022</v>
      </c>
      <c r="B172" s="95" t="s">
        <v>48</v>
      </c>
      <c r="C172" s="171">
        <v>44564</v>
      </c>
      <c r="D172" s="172" t="s">
        <v>446</v>
      </c>
      <c r="E172" s="172" t="s">
        <v>443</v>
      </c>
      <c r="F172" s="172">
        <v>260</v>
      </c>
      <c r="G172" s="172">
        <v>4</v>
      </c>
      <c r="H172" s="95">
        <v>10</v>
      </c>
      <c r="I172" s="173">
        <v>0.4</v>
      </c>
    </row>
    <row r="173" spans="1:11" x14ac:dyDescent="0.35">
      <c r="A173" s="95">
        <v>2022</v>
      </c>
      <c r="B173" s="95" t="s">
        <v>48</v>
      </c>
      <c r="C173" s="171">
        <v>44564</v>
      </c>
      <c r="D173" s="172" t="s">
        <v>438</v>
      </c>
      <c r="E173" s="172" t="s">
        <v>443</v>
      </c>
      <c r="F173" s="172">
        <v>260</v>
      </c>
      <c r="G173" s="172">
        <v>8</v>
      </c>
      <c r="H173" s="95">
        <v>10</v>
      </c>
      <c r="I173" s="173">
        <v>0.8</v>
      </c>
    </row>
    <row r="174" spans="1:11" x14ac:dyDescent="0.35">
      <c r="A174" s="95">
        <v>2022</v>
      </c>
      <c r="B174" s="95" t="s">
        <v>48</v>
      </c>
      <c r="C174" s="171">
        <v>44564</v>
      </c>
      <c r="D174" s="172" t="s">
        <v>438</v>
      </c>
      <c r="E174" s="172" t="s">
        <v>443</v>
      </c>
      <c r="F174" s="172">
        <v>260</v>
      </c>
      <c r="G174" s="172">
        <v>10</v>
      </c>
      <c r="H174" s="95">
        <v>10</v>
      </c>
      <c r="I174" s="173">
        <v>1</v>
      </c>
    </row>
    <row r="175" spans="1:11" x14ac:dyDescent="0.35">
      <c r="A175" s="95">
        <v>2022</v>
      </c>
      <c r="B175" s="95" t="s">
        <v>48</v>
      </c>
      <c r="C175" s="171">
        <v>44564</v>
      </c>
      <c r="D175" s="172" t="s">
        <v>440</v>
      </c>
      <c r="E175" s="172" t="s">
        <v>439</v>
      </c>
      <c r="F175" s="172">
        <v>260</v>
      </c>
      <c r="G175" s="172">
        <v>3</v>
      </c>
      <c r="H175" s="95">
        <v>10</v>
      </c>
      <c r="I175" s="173">
        <v>0.3</v>
      </c>
      <c r="J175" t="s">
        <v>137</v>
      </c>
      <c r="K175" s="160">
        <f>AVERAGE(I169:I198)</f>
        <v>0.63</v>
      </c>
    </row>
    <row r="176" spans="1:11" x14ac:dyDescent="0.35">
      <c r="A176" s="95">
        <v>2022</v>
      </c>
      <c r="B176" s="95" t="s">
        <v>48</v>
      </c>
      <c r="C176" s="171">
        <v>44564</v>
      </c>
      <c r="D176" s="172" t="s">
        <v>440</v>
      </c>
      <c r="E176" s="172" t="s">
        <v>439</v>
      </c>
      <c r="F176" s="172">
        <v>260</v>
      </c>
      <c r="G176" s="172">
        <v>5</v>
      </c>
      <c r="H176" s="95">
        <v>10</v>
      </c>
      <c r="I176" s="173">
        <v>0.5</v>
      </c>
      <c r="J176" t="s">
        <v>442</v>
      </c>
      <c r="K176">
        <f>MODE(G169:G198)</f>
        <v>8</v>
      </c>
    </row>
    <row r="177" spans="1:11" x14ac:dyDescent="0.35">
      <c r="A177" s="95">
        <v>2022</v>
      </c>
      <c r="B177" s="95" t="s">
        <v>48</v>
      </c>
      <c r="C177" s="171">
        <v>44564</v>
      </c>
      <c r="D177" s="172" t="s">
        <v>441</v>
      </c>
      <c r="E177" s="172" t="s">
        <v>439</v>
      </c>
      <c r="F177" s="172">
        <v>260</v>
      </c>
      <c r="G177" s="172">
        <v>8</v>
      </c>
      <c r="H177" s="95">
        <v>10</v>
      </c>
      <c r="I177" s="173">
        <v>0.8</v>
      </c>
      <c r="J177" t="s">
        <v>444</v>
      </c>
      <c r="K177">
        <f>COUNT(I169:I198)</f>
        <v>30</v>
      </c>
    </row>
    <row r="178" spans="1:11" x14ac:dyDescent="0.35">
      <c r="A178" s="95">
        <v>2022</v>
      </c>
      <c r="B178" s="95" t="s">
        <v>48</v>
      </c>
      <c r="C178" s="171">
        <v>44683</v>
      </c>
      <c r="D178" s="172" t="s">
        <v>448</v>
      </c>
      <c r="E178" s="172" t="s">
        <v>443</v>
      </c>
      <c r="F178" s="172">
        <v>260</v>
      </c>
      <c r="G178" s="172">
        <v>4</v>
      </c>
      <c r="H178" s="95">
        <v>10</v>
      </c>
      <c r="I178" s="173">
        <v>0.4</v>
      </c>
    </row>
    <row r="179" spans="1:11" x14ac:dyDescent="0.35">
      <c r="A179" s="95">
        <v>2022</v>
      </c>
      <c r="B179" s="95" t="s">
        <v>48</v>
      </c>
      <c r="C179" s="171">
        <v>44683</v>
      </c>
      <c r="D179" s="172" t="s">
        <v>449</v>
      </c>
      <c r="E179" s="172" t="s">
        <v>443</v>
      </c>
      <c r="F179" s="172">
        <v>260</v>
      </c>
      <c r="G179" s="172">
        <v>6</v>
      </c>
      <c r="H179" s="95">
        <v>10</v>
      </c>
      <c r="I179" s="173">
        <v>0.6</v>
      </c>
    </row>
    <row r="180" spans="1:11" x14ac:dyDescent="0.35">
      <c r="A180" s="95">
        <v>2022</v>
      </c>
      <c r="B180" s="95" t="s">
        <v>48</v>
      </c>
      <c r="C180" s="171">
        <v>44683</v>
      </c>
      <c r="D180" s="172" t="s">
        <v>446</v>
      </c>
      <c r="E180" s="172" t="s">
        <v>443</v>
      </c>
      <c r="F180" s="172">
        <v>260</v>
      </c>
      <c r="G180" s="172">
        <v>8</v>
      </c>
      <c r="H180" s="95">
        <v>10</v>
      </c>
      <c r="I180" s="173">
        <v>0.8</v>
      </c>
    </row>
    <row r="181" spans="1:11" x14ac:dyDescent="0.35">
      <c r="A181" s="95">
        <v>2022</v>
      </c>
      <c r="B181" s="95" t="s">
        <v>48</v>
      </c>
      <c r="C181" s="171">
        <v>44683</v>
      </c>
      <c r="D181" s="172" t="s">
        <v>438</v>
      </c>
      <c r="E181" s="172" t="s">
        <v>443</v>
      </c>
      <c r="F181" s="172">
        <v>260</v>
      </c>
      <c r="G181" s="172">
        <v>3</v>
      </c>
      <c r="H181" s="95">
        <v>10</v>
      </c>
      <c r="I181" s="173">
        <v>0.3</v>
      </c>
    </row>
    <row r="182" spans="1:11" x14ac:dyDescent="0.35">
      <c r="A182" s="95">
        <v>2022</v>
      </c>
      <c r="B182" s="95" t="s">
        <v>48</v>
      </c>
      <c r="C182" s="171">
        <v>44683</v>
      </c>
      <c r="D182" s="172" t="s">
        <v>440</v>
      </c>
      <c r="E182" s="172" t="s">
        <v>439</v>
      </c>
      <c r="F182" s="172">
        <v>230</v>
      </c>
      <c r="G182" s="172">
        <v>4</v>
      </c>
      <c r="H182" s="95">
        <v>10</v>
      </c>
      <c r="I182" s="173">
        <v>0.4</v>
      </c>
    </row>
    <row r="183" spans="1:11" x14ac:dyDescent="0.35">
      <c r="A183" s="95">
        <v>2022</v>
      </c>
      <c r="B183" s="95" t="s">
        <v>48</v>
      </c>
      <c r="C183" s="171">
        <v>44683</v>
      </c>
      <c r="D183" s="172" t="s">
        <v>440</v>
      </c>
      <c r="E183" s="172" t="s">
        <v>439</v>
      </c>
      <c r="F183" s="172">
        <v>260</v>
      </c>
      <c r="G183" s="172">
        <v>7</v>
      </c>
      <c r="H183" s="95">
        <v>10</v>
      </c>
      <c r="I183" s="173">
        <v>0.7</v>
      </c>
    </row>
    <row r="184" spans="1:11" x14ac:dyDescent="0.35">
      <c r="A184" s="95">
        <v>2022</v>
      </c>
      <c r="B184" s="95" t="s">
        <v>48</v>
      </c>
      <c r="C184" s="171">
        <v>44746</v>
      </c>
      <c r="D184" s="172" t="s">
        <v>448</v>
      </c>
      <c r="E184" s="172" t="s">
        <v>443</v>
      </c>
      <c r="F184" s="172">
        <v>260</v>
      </c>
      <c r="G184" s="172">
        <v>4</v>
      </c>
      <c r="H184" s="95">
        <v>10</v>
      </c>
      <c r="I184" s="173">
        <v>0.4</v>
      </c>
    </row>
    <row r="185" spans="1:11" x14ac:dyDescent="0.35">
      <c r="A185" s="95">
        <v>2022</v>
      </c>
      <c r="B185" s="95" t="s">
        <v>48</v>
      </c>
      <c r="C185" s="171">
        <v>44746</v>
      </c>
      <c r="D185" s="172" t="s">
        <v>446</v>
      </c>
      <c r="E185" s="172" t="s">
        <v>443</v>
      </c>
      <c r="F185" s="172">
        <v>220</v>
      </c>
      <c r="G185" s="172">
        <v>6</v>
      </c>
      <c r="H185" s="95">
        <v>10</v>
      </c>
      <c r="I185" s="173">
        <v>0.6</v>
      </c>
    </row>
    <row r="186" spans="1:11" x14ac:dyDescent="0.35">
      <c r="A186" s="95">
        <v>2022</v>
      </c>
      <c r="B186" s="95" t="s">
        <v>48</v>
      </c>
      <c r="C186" s="171">
        <v>44746</v>
      </c>
      <c r="D186" s="172" t="s">
        <v>446</v>
      </c>
      <c r="E186" s="172" t="s">
        <v>443</v>
      </c>
      <c r="F186" s="172">
        <v>260</v>
      </c>
      <c r="G186" s="172">
        <v>8</v>
      </c>
      <c r="H186" s="95">
        <v>10</v>
      </c>
      <c r="I186" s="173">
        <v>0.8</v>
      </c>
    </row>
    <row r="187" spans="1:11" x14ac:dyDescent="0.35">
      <c r="A187" s="95">
        <v>2022</v>
      </c>
      <c r="B187" s="95" t="s">
        <v>48</v>
      </c>
      <c r="C187" s="171">
        <v>44746</v>
      </c>
      <c r="D187" s="172" t="s">
        <v>438</v>
      </c>
      <c r="E187" s="172" t="s">
        <v>443</v>
      </c>
      <c r="F187" s="172">
        <v>260</v>
      </c>
      <c r="G187" s="172">
        <v>5</v>
      </c>
      <c r="H187" s="95">
        <v>10</v>
      </c>
      <c r="I187" s="173">
        <v>0.5</v>
      </c>
    </row>
    <row r="188" spans="1:11" x14ac:dyDescent="0.35">
      <c r="A188" s="95">
        <v>2022</v>
      </c>
      <c r="B188" s="95" t="s">
        <v>48</v>
      </c>
      <c r="C188" s="171">
        <v>44746</v>
      </c>
      <c r="D188" s="172" t="s">
        <v>438</v>
      </c>
      <c r="E188" s="172" t="s">
        <v>443</v>
      </c>
      <c r="F188" s="172">
        <v>260</v>
      </c>
      <c r="G188" s="172">
        <v>6</v>
      </c>
      <c r="H188" s="95">
        <v>10</v>
      </c>
      <c r="I188" s="173">
        <v>0.6</v>
      </c>
    </row>
    <row r="189" spans="1:11" x14ac:dyDescent="0.35">
      <c r="A189" s="95">
        <v>2022</v>
      </c>
      <c r="B189" s="95" t="s">
        <v>48</v>
      </c>
      <c r="C189" s="171">
        <v>44746</v>
      </c>
      <c r="D189" s="172" t="s">
        <v>441</v>
      </c>
      <c r="E189" s="172" t="s">
        <v>439</v>
      </c>
      <c r="F189" s="172">
        <v>220</v>
      </c>
      <c r="G189" s="172">
        <v>8</v>
      </c>
      <c r="H189" s="95">
        <v>10</v>
      </c>
      <c r="I189" s="173">
        <v>0.8</v>
      </c>
    </row>
    <row r="190" spans="1:11" x14ac:dyDescent="0.35">
      <c r="A190" s="95">
        <v>2022</v>
      </c>
      <c r="B190" s="95" t="s">
        <v>48</v>
      </c>
      <c r="C190" s="171">
        <v>44802</v>
      </c>
      <c r="D190" s="172" t="s">
        <v>438</v>
      </c>
      <c r="E190" s="172" t="s">
        <v>443</v>
      </c>
      <c r="F190" s="172">
        <v>260</v>
      </c>
      <c r="G190" s="172">
        <v>5</v>
      </c>
      <c r="H190" s="95">
        <v>10</v>
      </c>
      <c r="I190" s="173">
        <v>0.5</v>
      </c>
    </row>
    <row r="191" spans="1:11" x14ac:dyDescent="0.35">
      <c r="A191" s="95">
        <v>2022</v>
      </c>
      <c r="B191" s="95" t="s">
        <v>48</v>
      </c>
      <c r="C191" s="171">
        <v>44802</v>
      </c>
      <c r="D191" s="172" t="s">
        <v>438</v>
      </c>
      <c r="E191" s="172" t="s">
        <v>443</v>
      </c>
      <c r="F191" s="172">
        <v>260</v>
      </c>
      <c r="G191" s="172">
        <v>10</v>
      </c>
      <c r="H191" s="95">
        <v>10</v>
      </c>
      <c r="I191" s="173">
        <v>1</v>
      </c>
    </row>
    <row r="192" spans="1:11" x14ac:dyDescent="0.35">
      <c r="A192" s="95">
        <v>2022</v>
      </c>
      <c r="B192" s="95" t="s">
        <v>48</v>
      </c>
      <c r="C192" s="171">
        <v>44802</v>
      </c>
      <c r="D192" s="172" t="s">
        <v>438</v>
      </c>
      <c r="E192" s="172" t="s">
        <v>443</v>
      </c>
      <c r="F192" s="172">
        <v>260</v>
      </c>
      <c r="G192" s="172">
        <v>8</v>
      </c>
      <c r="H192" s="95">
        <v>10</v>
      </c>
      <c r="I192" s="173">
        <v>0.8</v>
      </c>
    </row>
    <row r="193" spans="1:11" ht="14.65" customHeight="1" x14ac:dyDescent="0.35">
      <c r="A193" s="95">
        <v>2022</v>
      </c>
      <c r="B193" s="95" t="s">
        <v>48</v>
      </c>
      <c r="C193" s="171">
        <v>44802</v>
      </c>
      <c r="D193" s="172" t="s">
        <v>440</v>
      </c>
      <c r="E193" s="172" t="s">
        <v>439</v>
      </c>
      <c r="F193" s="172">
        <v>260</v>
      </c>
      <c r="G193" s="172">
        <v>7</v>
      </c>
      <c r="H193" s="95">
        <v>10</v>
      </c>
      <c r="I193" s="173">
        <v>0.7</v>
      </c>
    </row>
    <row r="194" spans="1:11" x14ac:dyDescent="0.35">
      <c r="A194" s="95">
        <v>2022</v>
      </c>
      <c r="B194" s="95" t="s">
        <v>48</v>
      </c>
      <c r="C194" s="171">
        <v>44802</v>
      </c>
      <c r="D194" s="172" t="s">
        <v>441</v>
      </c>
      <c r="E194" s="172" t="s">
        <v>439</v>
      </c>
      <c r="F194" s="172">
        <v>260</v>
      </c>
      <c r="G194" s="172">
        <v>10</v>
      </c>
      <c r="H194" s="95">
        <v>10</v>
      </c>
      <c r="I194" s="173">
        <v>1</v>
      </c>
    </row>
    <row r="195" spans="1:11" x14ac:dyDescent="0.35">
      <c r="A195" s="95">
        <v>2022</v>
      </c>
      <c r="B195" s="95" t="s">
        <v>48</v>
      </c>
      <c r="C195" s="171">
        <v>44858</v>
      </c>
      <c r="D195" s="172" t="s">
        <v>438</v>
      </c>
      <c r="E195" s="172" t="s">
        <v>443</v>
      </c>
      <c r="F195" s="172">
        <v>260</v>
      </c>
      <c r="G195" s="172">
        <v>5</v>
      </c>
      <c r="H195" s="95">
        <v>10</v>
      </c>
      <c r="I195" s="173">
        <v>0.5</v>
      </c>
    </row>
    <row r="196" spans="1:11" x14ac:dyDescent="0.35">
      <c r="A196" s="95">
        <v>2022</v>
      </c>
      <c r="B196" s="95" t="s">
        <v>48</v>
      </c>
      <c r="C196" s="171">
        <v>44858</v>
      </c>
      <c r="D196" s="172" t="s">
        <v>438</v>
      </c>
      <c r="E196" s="172" t="s">
        <v>443</v>
      </c>
      <c r="F196" s="172">
        <v>260</v>
      </c>
      <c r="G196" s="172">
        <v>8</v>
      </c>
      <c r="H196" s="95">
        <v>10</v>
      </c>
      <c r="I196" s="173">
        <v>0.8</v>
      </c>
    </row>
    <row r="197" spans="1:11" x14ac:dyDescent="0.35">
      <c r="A197" s="95">
        <v>2022</v>
      </c>
      <c r="B197" s="95" t="s">
        <v>48</v>
      </c>
      <c r="C197" s="171">
        <v>44858</v>
      </c>
      <c r="D197" s="172" t="s">
        <v>440</v>
      </c>
      <c r="E197" s="172" t="s">
        <v>439</v>
      </c>
      <c r="F197" s="172">
        <v>260</v>
      </c>
      <c r="G197" s="172">
        <v>3</v>
      </c>
      <c r="H197" s="95">
        <v>10</v>
      </c>
      <c r="I197" s="173">
        <v>0.3</v>
      </c>
    </row>
    <row r="198" spans="1:11" x14ac:dyDescent="0.35">
      <c r="A198" s="95">
        <v>2022</v>
      </c>
      <c r="B198" s="95" t="s">
        <v>48</v>
      </c>
      <c r="C198" s="171">
        <v>44858</v>
      </c>
      <c r="D198" s="172" t="s">
        <v>440</v>
      </c>
      <c r="E198" s="172" t="s">
        <v>439</v>
      </c>
      <c r="F198" s="172">
        <v>260</v>
      </c>
      <c r="G198" s="172">
        <v>5</v>
      </c>
      <c r="H198" s="95">
        <v>10</v>
      </c>
      <c r="I198" s="173">
        <v>0.5</v>
      </c>
    </row>
    <row r="199" spans="1:11" x14ac:dyDescent="0.35">
      <c r="A199" s="95"/>
      <c r="B199" s="95"/>
      <c r="C199" s="95"/>
      <c r="D199" s="95"/>
      <c r="E199" s="95"/>
      <c r="F199" s="95"/>
      <c r="G199" s="95"/>
      <c r="H199" s="95"/>
      <c r="I199" s="95"/>
    </row>
    <row r="200" spans="1:11" x14ac:dyDescent="0.35">
      <c r="A200" s="95">
        <v>2021</v>
      </c>
      <c r="B200" s="175" t="s">
        <v>48</v>
      </c>
      <c r="C200" s="176">
        <v>44256</v>
      </c>
      <c r="D200" s="175" t="s">
        <v>438</v>
      </c>
      <c r="E200" s="175" t="s">
        <v>443</v>
      </c>
      <c r="F200" s="175">
        <v>220</v>
      </c>
      <c r="G200" s="175">
        <v>4</v>
      </c>
      <c r="H200" s="1">
        <v>10</v>
      </c>
      <c r="I200" s="173">
        <v>0.4</v>
      </c>
    </row>
    <row r="201" spans="1:11" x14ac:dyDescent="0.35">
      <c r="A201" s="95">
        <v>2021</v>
      </c>
      <c r="B201" s="175" t="s">
        <v>48</v>
      </c>
      <c r="C201" s="176">
        <v>44256</v>
      </c>
      <c r="D201" s="175" t="s">
        <v>448</v>
      </c>
      <c r="E201" s="175" t="s">
        <v>443</v>
      </c>
      <c r="F201" s="175">
        <v>240</v>
      </c>
      <c r="G201" s="175">
        <v>9</v>
      </c>
      <c r="H201" s="1">
        <v>10</v>
      </c>
      <c r="I201" s="173">
        <v>0.9</v>
      </c>
    </row>
    <row r="202" spans="1:11" x14ac:dyDescent="0.35">
      <c r="A202" s="95">
        <v>2021</v>
      </c>
      <c r="B202" s="175" t="s">
        <v>48</v>
      </c>
      <c r="C202" s="176">
        <v>44256</v>
      </c>
      <c r="D202" s="175" t="s">
        <v>449</v>
      </c>
      <c r="E202" s="175" t="s">
        <v>443</v>
      </c>
      <c r="F202" s="175">
        <v>240</v>
      </c>
      <c r="G202" s="175">
        <v>9</v>
      </c>
      <c r="H202" s="1">
        <v>10</v>
      </c>
      <c r="I202" s="173">
        <v>0.9</v>
      </c>
    </row>
    <row r="203" spans="1:11" x14ac:dyDescent="0.35">
      <c r="A203" s="95">
        <v>2021</v>
      </c>
      <c r="B203" s="175" t="s">
        <v>48</v>
      </c>
      <c r="C203" s="176">
        <v>44256</v>
      </c>
      <c r="D203" s="175" t="s">
        <v>446</v>
      </c>
      <c r="E203" s="175" t="s">
        <v>443</v>
      </c>
      <c r="F203" s="175">
        <v>240</v>
      </c>
      <c r="G203" s="175">
        <v>8</v>
      </c>
      <c r="H203" s="1">
        <v>10</v>
      </c>
      <c r="I203" s="173">
        <v>0.8</v>
      </c>
      <c r="J203" t="s">
        <v>138</v>
      </c>
      <c r="K203" s="160">
        <f>AVERAGE(I200:I235)</f>
        <v>0.6333333333333333</v>
      </c>
    </row>
    <row r="204" spans="1:11" x14ac:dyDescent="0.35">
      <c r="A204" s="95">
        <v>2021</v>
      </c>
      <c r="B204" s="175" t="s">
        <v>48</v>
      </c>
      <c r="C204" s="176">
        <v>44256</v>
      </c>
      <c r="D204" s="175" t="s">
        <v>446</v>
      </c>
      <c r="E204" s="175" t="s">
        <v>443</v>
      </c>
      <c r="F204" s="175">
        <v>240</v>
      </c>
      <c r="G204" s="175">
        <v>8</v>
      </c>
      <c r="H204" s="1">
        <v>10</v>
      </c>
      <c r="I204" s="173">
        <v>0.8</v>
      </c>
      <c r="J204" t="s">
        <v>442</v>
      </c>
      <c r="K204">
        <f>MODE(G200:G235)</f>
        <v>4</v>
      </c>
    </row>
    <row r="205" spans="1:11" x14ac:dyDescent="0.35">
      <c r="A205" s="95">
        <v>2021</v>
      </c>
      <c r="B205" s="1" t="s">
        <v>48</v>
      </c>
      <c r="C205" s="177">
        <v>44388</v>
      </c>
      <c r="D205" s="172" t="s">
        <v>441</v>
      </c>
      <c r="E205" s="175" t="s">
        <v>439</v>
      </c>
      <c r="F205" s="175">
        <v>240</v>
      </c>
      <c r="G205" s="175">
        <v>9</v>
      </c>
      <c r="H205" s="1">
        <v>10</v>
      </c>
      <c r="I205" s="173">
        <v>0.9</v>
      </c>
      <c r="J205" t="s">
        <v>444</v>
      </c>
      <c r="K205">
        <f>COUNT(I200:I235)</f>
        <v>36</v>
      </c>
    </row>
    <row r="206" spans="1:11" x14ac:dyDescent="0.35">
      <c r="A206" s="95">
        <v>2021</v>
      </c>
      <c r="B206" s="1" t="s">
        <v>48</v>
      </c>
      <c r="C206" s="177">
        <v>44388</v>
      </c>
      <c r="D206" s="172" t="s">
        <v>441</v>
      </c>
      <c r="E206" s="175" t="s">
        <v>443</v>
      </c>
      <c r="F206" s="175">
        <v>220</v>
      </c>
      <c r="G206" s="175">
        <v>8</v>
      </c>
      <c r="H206" s="1">
        <v>10</v>
      </c>
      <c r="I206" s="173">
        <v>0.8</v>
      </c>
    </row>
    <row r="207" spans="1:11" x14ac:dyDescent="0.35">
      <c r="A207" s="95">
        <v>2021</v>
      </c>
      <c r="B207" s="1" t="s">
        <v>48</v>
      </c>
      <c r="C207" s="177">
        <v>44388</v>
      </c>
      <c r="D207" s="172" t="s">
        <v>448</v>
      </c>
      <c r="E207" s="175" t="s">
        <v>443</v>
      </c>
      <c r="F207" s="175">
        <v>240</v>
      </c>
      <c r="G207" s="175">
        <v>10</v>
      </c>
      <c r="H207" s="1">
        <v>10</v>
      </c>
      <c r="I207" s="173">
        <v>1</v>
      </c>
    </row>
    <row r="208" spans="1:11" x14ac:dyDescent="0.35">
      <c r="A208" s="95">
        <v>2021</v>
      </c>
      <c r="B208" s="1" t="s">
        <v>48</v>
      </c>
      <c r="C208" s="177">
        <v>44388</v>
      </c>
      <c r="D208" s="172" t="s">
        <v>449</v>
      </c>
      <c r="E208" s="175" t="s">
        <v>443</v>
      </c>
      <c r="F208" s="175">
        <v>240</v>
      </c>
      <c r="G208" s="175">
        <v>9</v>
      </c>
      <c r="H208" s="1">
        <v>10</v>
      </c>
      <c r="I208" s="173">
        <v>0.9</v>
      </c>
    </row>
    <row r="209" spans="1:10" x14ac:dyDescent="0.35">
      <c r="A209" s="95">
        <v>2021</v>
      </c>
      <c r="B209" s="1" t="s">
        <v>48</v>
      </c>
      <c r="C209" s="177">
        <v>44388</v>
      </c>
      <c r="D209" s="172" t="s">
        <v>446</v>
      </c>
      <c r="E209" s="175" t="s">
        <v>443</v>
      </c>
      <c r="F209" s="175">
        <v>240</v>
      </c>
      <c r="G209" s="175">
        <v>4</v>
      </c>
      <c r="H209" s="1">
        <v>10</v>
      </c>
      <c r="I209" s="173">
        <v>0.4</v>
      </c>
    </row>
    <row r="210" spans="1:10" x14ac:dyDescent="0.35">
      <c r="A210" s="95">
        <v>2021</v>
      </c>
      <c r="B210" s="1" t="s">
        <v>48</v>
      </c>
      <c r="C210" s="177">
        <v>44388</v>
      </c>
      <c r="D210" s="172" t="s">
        <v>446</v>
      </c>
      <c r="E210" s="175" t="s">
        <v>443</v>
      </c>
      <c r="F210" s="175">
        <v>240</v>
      </c>
      <c r="G210" s="175">
        <v>9</v>
      </c>
      <c r="H210" s="1">
        <v>10</v>
      </c>
      <c r="I210" s="173">
        <v>0.9</v>
      </c>
    </row>
    <row r="211" spans="1:10" x14ac:dyDescent="0.35">
      <c r="A211" s="95">
        <v>2021</v>
      </c>
      <c r="B211" s="1" t="s">
        <v>48</v>
      </c>
      <c r="C211" s="177">
        <v>44388</v>
      </c>
      <c r="D211" s="172" t="s">
        <v>438</v>
      </c>
      <c r="E211" s="175" t="s">
        <v>443</v>
      </c>
      <c r="F211" s="175">
        <v>240</v>
      </c>
      <c r="G211" s="175">
        <v>9</v>
      </c>
      <c r="H211" s="1">
        <v>10</v>
      </c>
      <c r="I211" s="173">
        <v>0.9</v>
      </c>
    </row>
    <row r="212" spans="1:10" x14ac:dyDescent="0.35">
      <c r="A212" s="95">
        <v>2021</v>
      </c>
      <c r="B212" s="1" t="s">
        <v>48</v>
      </c>
      <c r="C212" s="177">
        <v>44388</v>
      </c>
      <c r="D212" s="172" t="s">
        <v>438</v>
      </c>
      <c r="E212" s="175" t="s">
        <v>443</v>
      </c>
      <c r="F212" s="175">
        <v>240</v>
      </c>
      <c r="G212" s="175">
        <v>6</v>
      </c>
      <c r="H212" s="1">
        <v>10</v>
      </c>
      <c r="I212" s="173">
        <v>0.6</v>
      </c>
    </row>
    <row r="213" spans="1:10" x14ac:dyDescent="0.35">
      <c r="A213" s="95">
        <v>2021</v>
      </c>
      <c r="B213" s="1" t="s">
        <v>48</v>
      </c>
      <c r="C213" s="177">
        <v>44388</v>
      </c>
      <c r="D213" s="172" t="s">
        <v>441</v>
      </c>
      <c r="E213" s="175" t="s">
        <v>447</v>
      </c>
      <c r="F213" s="175">
        <v>220</v>
      </c>
      <c r="G213" s="175">
        <v>4</v>
      </c>
      <c r="H213" s="1">
        <v>10</v>
      </c>
      <c r="I213" s="173">
        <v>0.4</v>
      </c>
    </row>
    <row r="214" spans="1:10" x14ac:dyDescent="0.35">
      <c r="A214" s="95">
        <v>2021</v>
      </c>
      <c r="B214" s="1" t="s">
        <v>48</v>
      </c>
      <c r="C214" s="177">
        <v>44388</v>
      </c>
      <c r="D214" s="172" t="s">
        <v>440</v>
      </c>
      <c r="E214" s="175" t="s">
        <v>439</v>
      </c>
      <c r="F214" s="175">
        <v>240</v>
      </c>
      <c r="G214" s="175">
        <v>5</v>
      </c>
      <c r="H214" s="1">
        <v>10</v>
      </c>
      <c r="I214" s="173">
        <v>0.5</v>
      </c>
    </row>
    <row r="215" spans="1:10" x14ac:dyDescent="0.35">
      <c r="A215" s="95">
        <v>2021</v>
      </c>
      <c r="B215" s="1" t="s">
        <v>48</v>
      </c>
      <c r="C215" s="177">
        <v>44438</v>
      </c>
      <c r="D215" s="172" t="s">
        <v>440</v>
      </c>
      <c r="E215" s="175" t="s">
        <v>439</v>
      </c>
      <c r="F215" s="175">
        <v>240</v>
      </c>
      <c r="G215" s="175">
        <v>4</v>
      </c>
      <c r="H215" s="1">
        <v>10</v>
      </c>
      <c r="I215" s="173">
        <v>0.4</v>
      </c>
    </row>
    <row r="216" spans="1:10" x14ac:dyDescent="0.35">
      <c r="A216" s="95">
        <v>2021</v>
      </c>
      <c r="B216" s="1" t="s">
        <v>48</v>
      </c>
      <c r="C216" s="177">
        <v>44438</v>
      </c>
      <c r="D216" s="172" t="s">
        <v>441</v>
      </c>
      <c r="E216" s="175" t="s">
        <v>447</v>
      </c>
      <c r="F216" s="175">
        <v>240</v>
      </c>
      <c r="G216" s="175">
        <v>2</v>
      </c>
      <c r="H216" s="1">
        <v>10</v>
      </c>
      <c r="I216" s="173">
        <v>0.2</v>
      </c>
      <c r="J216" s="171"/>
    </row>
    <row r="217" spans="1:10" x14ac:dyDescent="0.35">
      <c r="A217" s="95">
        <v>2021</v>
      </c>
      <c r="B217" s="1" t="s">
        <v>48</v>
      </c>
      <c r="C217" s="177">
        <v>44438</v>
      </c>
      <c r="D217" s="172" t="s">
        <v>441</v>
      </c>
      <c r="E217" s="175" t="s">
        <v>439</v>
      </c>
      <c r="F217" s="175">
        <v>240</v>
      </c>
      <c r="G217" s="175">
        <v>4</v>
      </c>
      <c r="H217" s="1">
        <v>10</v>
      </c>
      <c r="I217" s="173">
        <v>0.4</v>
      </c>
      <c r="J217" s="171"/>
    </row>
    <row r="218" spans="1:10" x14ac:dyDescent="0.35">
      <c r="A218" s="95">
        <v>2021</v>
      </c>
      <c r="B218" s="1" t="s">
        <v>48</v>
      </c>
      <c r="C218" s="177">
        <v>44438</v>
      </c>
      <c r="D218" s="172" t="s">
        <v>445</v>
      </c>
      <c r="E218" s="175" t="s">
        <v>443</v>
      </c>
      <c r="F218" s="175">
        <v>220</v>
      </c>
      <c r="G218" s="175">
        <v>7</v>
      </c>
      <c r="H218" s="1">
        <v>10</v>
      </c>
      <c r="I218" s="173">
        <v>0.7</v>
      </c>
      <c r="J218" s="174"/>
    </row>
    <row r="219" spans="1:10" x14ac:dyDescent="0.35">
      <c r="A219" s="95">
        <v>2021</v>
      </c>
      <c r="B219" s="1" t="s">
        <v>48</v>
      </c>
      <c r="C219" s="177">
        <v>44438</v>
      </c>
      <c r="D219" s="172" t="s">
        <v>438</v>
      </c>
      <c r="E219" s="175" t="s">
        <v>443</v>
      </c>
      <c r="F219" s="175">
        <v>220</v>
      </c>
      <c r="G219" s="175">
        <v>3</v>
      </c>
      <c r="H219" s="1">
        <v>10</v>
      </c>
      <c r="I219" s="173">
        <v>0.3</v>
      </c>
      <c r="J219" s="171"/>
    </row>
    <row r="220" spans="1:10" x14ac:dyDescent="0.35">
      <c r="A220" s="95">
        <v>2021</v>
      </c>
      <c r="B220" s="1" t="s">
        <v>48</v>
      </c>
      <c r="C220" s="177">
        <v>44438</v>
      </c>
      <c r="D220" s="172" t="s">
        <v>445</v>
      </c>
      <c r="E220" s="175" t="s">
        <v>443</v>
      </c>
      <c r="F220" s="175">
        <v>240</v>
      </c>
      <c r="G220" s="175">
        <v>8</v>
      </c>
      <c r="H220" s="1">
        <v>10</v>
      </c>
      <c r="I220" s="173">
        <v>0.8</v>
      </c>
      <c r="J220" s="171"/>
    </row>
    <row r="221" spans="1:10" x14ac:dyDescent="0.35">
      <c r="A221" s="95">
        <v>2021</v>
      </c>
      <c r="B221" s="1" t="s">
        <v>48</v>
      </c>
      <c r="C221" s="177">
        <v>44438</v>
      </c>
      <c r="D221" s="172" t="s">
        <v>449</v>
      </c>
      <c r="E221" s="175" t="s">
        <v>443</v>
      </c>
      <c r="F221" s="175">
        <v>240</v>
      </c>
      <c r="G221" s="175">
        <v>10</v>
      </c>
      <c r="H221" s="1">
        <v>10</v>
      </c>
      <c r="I221" s="173">
        <v>1</v>
      </c>
      <c r="J221" s="171"/>
    </row>
    <row r="222" spans="1:10" x14ac:dyDescent="0.35">
      <c r="A222" s="95">
        <v>2021</v>
      </c>
      <c r="B222" s="1" t="s">
        <v>48</v>
      </c>
      <c r="C222" s="177">
        <v>44438</v>
      </c>
      <c r="D222" s="172" t="s">
        <v>438</v>
      </c>
      <c r="E222" s="175" t="s">
        <v>443</v>
      </c>
      <c r="F222" s="175">
        <v>240</v>
      </c>
      <c r="G222" s="175">
        <v>4</v>
      </c>
      <c r="H222" s="1">
        <v>10</v>
      </c>
      <c r="I222" s="173">
        <v>0.4</v>
      </c>
      <c r="J222" s="174"/>
    </row>
    <row r="223" spans="1:10" x14ac:dyDescent="0.35">
      <c r="A223" s="95">
        <v>2021</v>
      </c>
      <c r="B223" s="1" t="s">
        <v>48</v>
      </c>
      <c r="C223" s="177">
        <v>44438</v>
      </c>
      <c r="D223" s="172" t="s">
        <v>438</v>
      </c>
      <c r="E223" s="175" t="s">
        <v>443</v>
      </c>
      <c r="F223" s="175">
        <v>240</v>
      </c>
      <c r="G223" s="175">
        <v>4</v>
      </c>
      <c r="H223" s="1">
        <v>10</v>
      </c>
      <c r="I223" s="173">
        <v>0.4</v>
      </c>
      <c r="J223" s="174"/>
    </row>
    <row r="224" spans="1:10" ht="14.65" customHeight="1" x14ac:dyDescent="0.35">
      <c r="A224" s="95">
        <v>2021</v>
      </c>
      <c r="B224" s="1" t="s">
        <v>48</v>
      </c>
      <c r="C224" s="177">
        <v>44438</v>
      </c>
      <c r="D224" s="172" t="s">
        <v>440</v>
      </c>
      <c r="E224" s="175" t="s">
        <v>447</v>
      </c>
      <c r="F224" s="175">
        <v>240</v>
      </c>
      <c r="G224" s="175">
        <v>3</v>
      </c>
      <c r="H224" s="1">
        <v>10</v>
      </c>
      <c r="I224" s="173">
        <v>0.3</v>
      </c>
      <c r="J224" s="174"/>
    </row>
    <row r="225" spans="1:10" x14ac:dyDescent="0.35">
      <c r="A225" s="95">
        <v>2021</v>
      </c>
      <c r="B225" s="1" t="s">
        <v>48</v>
      </c>
      <c r="C225" s="177">
        <v>44438</v>
      </c>
      <c r="D225" s="172" t="s">
        <v>440</v>
      </c>
      <c r="E225" s="175" t="s">
        <v>439</v>
      </c>
      <c r="F225" s="175">
        <v>240</v>
      </c>
      <c r="G225" s="175">
        <v>6</v>
      </c>
      <c r="H225" s="1">
        <v>10</v>
      </c>
      <c r="I225" s="173">
        <v>0.6</v>
      </c>
      <c r="J225" s="174"/>
    </row>
    <row r="226" spans="1:10" x14ac:dyDescent="0.35">
      <c r="A226" s="95">
        <v>2021</v>
      </c>
      <c r="B226" s="1" t="s">
        <v>48</v>
      </c>
      <c r="C226" s="177">
        <v>44438</v>
      </c>
      <c r="D226" s="172" t="s">
        <v>441</v>
      </c>
      <c r="E226" s="175" t="s">
        <v>439</v>
      </c>
      <c r="F226" s="175">
        <v>240</v>
      </c>
      <c r="G226" s="175">
        <v>7</v>
      </c>
      <c r="H226" s="1">
        <v>10</v>
      </c>
      <c r="I226" s="173">
        <v>0.7</v>
      </c>
      <c r="J226" s="171"/>
    </row>
    <row r="227" spans="1:10" x14ac:dyDescent="0.35">
      <c r="A227" s="95">
        <v>2021</v>
      </c>
      <c r="B227" s="1" t="s">
        <v>48</v>
      </c>
      <c r="C227" s="177">
        <v>44494</v>
      </c>
      <c r="D227" s="172" t="s">
        <v>440</v>
      </c>
      <c r="E227" s="175" t="s">
        <v>439</v>
      </c>
      <c r="F227" s="175">
        <v>240</v>
      </c>
      <c r="G227" s="175">
        <v>7</v>
      </c>
      <c r="H227" s="1">
        <v>10</v>
      </c>
      <c r="I227" s="173">
        <v>0.7</v>
      </c>
      <c r="J227" s="171"/>
    </row>
    <row r="228" spans="1:10" x14ac:dyDescent="0.35">
      <c r="A228" s="95">
        <v>2021</v>
      </c>
      <c r="B228" s="1" t="s">
        <v>48</v>
      </c>
      <c r="C228" s="177">
        <v>44494</v>
      </c>
      <c r="D228" s="172" t="s">
        <v>449</v>
      </c>
      <c r="E228" s="175" t="s">
        <v>443</v>
      </c>
      <c r="F228" s="175">
        <v>240</v>
      </c>
      <c r="G228" s="175">
        <v>9</v>
      </c>
      <c r="H228" s="1">
        <v>10</v>
      </c>
      <c r="I228" s="173">
        <v>0.9</v>
      </c>
      <c r="J228" s="171"/>
    </row>
    <row r="229" spans="1:10" x14ac:dyDescent="0.35">
      <c r="A229" s="95">
        <v>2021</v>
      </c>
      <c r="B229" s="1" t="s">
        <v>48</v>
      </c>
      <c r="C229" s="177">
        <v>44494</v>
      </c>
      <c r="D229" s="172" t="s">
        <v>441</v>
      </c>
      <c r="E229" s="175" t="s">
        <v>447</v>
      </c>
      <c r="F229" s="175">
        <v>240</v>
      </c>
      <c r="G229" s="175">
        <v>4</v>
      </c>
      <c r="H229" s="1">
        <v>10</v>
      </c>
      <c r="I229" s="173">
        <v>0.4</v>
      </c>
      <c r="J229" s="171"/>
    </row>
    <row r="230" spans="1:10" x14ac:dyDescent="0.35">
      <c r="A230" s="95">
        <v>2021</v>
      </c>
      <c r="B230" s="1" t="s">
        <v>48</v>
      </c>
      <c r="C230" s="177">
        <v>44494</v>
      </c>
      <c r="D230" s="172" t="s">
        <v>440</v>
      </c>
      <c r="E230" s="175" t="s">
        <v>439</v>
      </c>
      <c r="F230" s="175">
        <v>240</v>
      </c>
      <c r="G230" s="175">
        <v>6</v>
      </c>
      <c r="H230" s="1">
        <v>10</v>
      </c>
      <c r="I230" s="173">
        <v>0.6</v>
      </c>
      <c r="J230" s="171"/>
    </row>
    <row r="231" spans="1:10" x14ac:dyDescent="0.35">
      <c r="A231" s="95">
        <v>2021</v>
      </c>
      <c r="B231" s="1" t="s">
        <v>48</v>
      </c>
      <c r="C231" s="177">
        <v>44494</v>
      </c>
      <c r="D231" s="172" t="s">
        <v>445</v>
      </c>
      <c r="E231" s="175" t="s">
        <v>443</v>
      </c>
      <c r="F231" s="175">
        <v>240</v>
      </c>
      <c r="G231" s="175">
        <v>9</v>
      </c>
      <c r="H231" s="1">
        <v>10</v>
      </c>
      <c r="I231" s="173">
        <v>0.9</v>
      </c>
      <c r="J231" s="171"/>
    </row>
    <row r="232" spans="1:10" x14ac:dyDescent="0.35">
      <c r="A232" s="95">
        <v>2021</v>
      </c>
      <c r="B232" s="1" t="s">
        <v>48</v>
      </c>
      <c r="C232" s="177">
        <v>44494</v>
      </c>
      <c r="D232" s="172" t="s">
        <v>438</v>
      </c>
      <c r="E232" s="175" t="s">
        <v>443</v>
      </c>
      <c r="F232" s="175">
        <v>240</v>
      </c>
      <c r="G232" s="175">
        <v>2</v>
      </c>
      <c r="H232" s="1">
        <v>10</v>
      </c>
      <c r="I232" s="173">
        <v>0.2</v>
      </c>
      <c r="J232" s="171"/>
    </row>
    <row r="233" spans="1:10" x14ac:dyDescent="0.35">
      <c r="A233" s="95">
        <v>2021</v>
      </c>
      <c r="B233" s="1" t="s">
        <v>48</v>
      </c>
      <c r="C233" s="177">
        <v>44494</v>
      </c>
      <c r="D233" s="172" t="s">
        <v>448</v>
      </c>
      <c r="E233" s="175" t="s">
        <v>443</v>
      </c>
      <c r="F233" s="175">
        <v>240</v>
      </c>
      <c r="G233" s="175">
        <v>3</v>
      </c>
      <c r="H233" s="1">
        <v>10</v>
      </c>
      <c r="I233" s="173">
        <v>0.3</v>
      </c>
      <c r="J233" s="171"/>
    </row>
    <row r="234" spans="1:10" x14ac:dyDescent="0.35">
      <c r="A234" s="95">
        <v>2021</v>
      </c>
      <c r="B234" s="1" t="s">
        <v>48</v>
      </c>
      <c r="C234" s="177">
        <v>44494</v>
      </c>
      <c r="D234" s="172" t="s">
        <v>449</v>
      </c>
      <c r="E234" s="175" t="s">
        <v>443</v>
      </c>
      <c r="F234" s="175">
        <v>240</v>
      </c>
      <c r="G234" s="175">
        <v>7</v>
      </c>
      <c r="H234" s="1">
        <v>10</v>
      </c>
      <c r="I234" s="173">
        <v>0.7</v>
      </c>
      <c r="J234" s="171"/>
    </row>
    <row r="235" spans="1:10" x14ac:dyDescent="0.35">
      <c r="A235" s="95">
        <v>2021</v>
      </c>
      <c r="B235" s="1" t="s">
        <v>48</v>
      </c>
      <c r="C235" s="177">
        <v>44494</v>
      </c>
      <c r="D235" s="172" t="s">
        <v>441</v>
      </c>
      <c r="E235" s="175" t="s">
        <v>439</v>
      </c>
      <c r="F235" s="175">
        <v>240</v>
      </c>
      <c r="G235" s="175">
        <v>8</v>
      </c>
      <c r="H235" s="1">
        <v>10</v>
      </c>
      <c r="I235" s="173">
        <v>0.8</v>
      </c>
      <c r="J235" s="171"/>
    </row>
    <row r="261" spans="10:10" x14ac:dyDescent="0.35">
      <c r="J261" s="171"/>
    </row>
    <row r="262" spans="10:10" x14ac:dyDescent="0.35">
      <c r="J262" s="171"/>
    </row>
    <row r="263" spans="10:10" x14ac:dyDescent="0.35">
      <c r="J263" s="171"/>
    </row>
    <row r="264" spans="10:10" x14ac:dyDescent="0.35">
      <c r="J264" s="171"/>
    </row>
  </sheetData>
  <autoFilter ref="A2:I20" xr:uid="{D65048FA-E788-41C2-9A87-5382A1421C13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DE986-59CB-4379-8C56-DEB47D9F9302}">
  <dimension ref="A1:M272"/>
  <sheetViews>
    <sheetView topLeftCell="C65" zoomScale="115" zoomScaleNormal="115" workbookViewId="0">
      <selection activeCell="J138" sqref="J138:L144"/>
    </sheetView>
  </sheetViews>
  <sheetFormatPr defaultRowHeight="14.5" x14ac:dyDescent="0.35"/>
  <cols>
    <col min="1" max="1" width="11.7265625" customWidth="1"/>
    <col min="2" max="2" width="23.54296875" customWidth="1"/>
    <col min="3" max="3" width="16.7265625" customWidth="1"/>
    <col min="4" max="4" width="13.7265625" customWidth="1"/>
    <col min="7" max="7" width="11.26953125" customWidth="1"/>
    <col min="8" max="8" width="11.453125" customWidth="1"/>
    <col min="9" max="9" width="21.7265625" customWidth="1"/>
    <col min="10" max="10" width="22.1796875" bestFit="1" customWidth="1"/>
    <col min="11" max="11" width="17.7265625" bestFit="1" customWidth="1"/>
    <col min="12" max="12" width="24.26953125" bestFit="1" customWidth="1"/>
    <col min="13" max="18" width="2" bestFit="1" customWidth="1"/>
    <col min="19" max="19" width="3" bestFit="1" customWidth="1"/>
    <col min="20" max="20" width="10.7265625" bestFit="1" customWidth="1"/>
  </cols>
  <sheetData>
    <row r="1" spans="1:13" ht="15" thickBot="1" x14ac:dyDescent="0.4">
      <c r="A1" s="157">
        <v>2021</v>
      </c>
      <c r="B1" s="157"/>
      <c r="C1" s="94"/>
      <c r="D1" s="94"/>
      <c r="E1" s="94"/>
      <c r="F1" s="147"/>
      <c r="G1" s="94"/>
      <c r="H1" s="94"/>
      <c r="I1" s="94"/>
    </row>
    <row r="2" spans="1:13" x14ac:dyDescent="0.35">
      <c r="A2" s="148" t="s">
        <v>428</v>
      </c>
      <c r="B2" s="149" t="s">
        <v>34</v>
      </c>
      <c r="C2" s="149" t="s">
        <v>429</v>
      </c>
      <c r="D2" s="149" t="s">
        <v>430</v>
      </c>
      <c r="E2" s="149" t="s">
        <v>431</v>
      </c>
      <c r="F2" s="149" t="s">
        <v>432</v>
      </c>
      <c r="G2" s="149" t="s">
        <v>433</v>
      </c>
      <c r="H2" s="150" t="s">
        <v>434</v>
      </c>
      <c r="I2" s="151" t="s">
        <v>435</v>
      </c>
      <c r="K2" s="161"/>
      <c r="M2" s="161"/>
    </row>
    <row r="3" spans="1:13" x14ac:dyDescent="0.35">
      <c r="A3" s="94">
        <v>2021</v>
      </c>
      <c r="B3" s="152" t="s">
        <v>41</v>
      </c>
      <c r="C3" s="153">
        <v>44256</v>
      </c>
      <c r="D3" s="152" t="s">
        <v>438</v>
      </c>
      <c r="E3" s="152" t="s">
        <v>439</v>
      </c>
      <c r="F3" s="152">
        <v>250</v>
      </c>
      <c r="G3" s="152">
        <v>7</v>
      </c>
      <c r="H3" s="94">
        <v>10</v>
      </c>
      <c r="I3" s="154">
        <f t="shared" ref="I3:I20" si="0">G3/H3</f>
        <v>0.7</v>
      </c>
    </row>
    <row r="4" spans="1:13" x14ac:dyDescent="0.35">
      <c r="A4" s="94">
        <v>2021</v>
      </c>
      <c r="B4" s="152" t="s">
        <v>41</v>
      </c>
      <c r="C4" s="153">
        <v>44256</v>
      </c>
      <c r="D4" s="152" t="s">
        <v>440</v>
      </c>
      <c r="E4" s="152" t="s">
        <v>439</v>
      </c>
      <c r="F4" s="152">
        <v>250</v>
      </c>
      <c r="G4" s="152">
        <v>7</v>
      </c>
      <c r="H4" s="94">
        <v>10</v>
      </c>
      <c r="I4" s="154">
        <f t="shared" si="0"/>
        <v>0.7</v>
      </c>
    </row>
    <row r="5" spans="1:13" x14ac:dyDescent="0.35">
      <c r="A5" s="94">
        <v>2021</v>
      </c>
      <c r="B5" s="152" t="s">
        <v>41</v>
      </c>
      <c r="C5" s="153">
        <v>44256</v>
      </c>
      <c r="D5" s="152" t="s">
        <v>440</v>
      </c>
      <c r="E5" s="152" t="s">
        <v>439</v>
      </c>
      <c r="F5" s="152">
        <v>250</v>
      </c>
      <c r="G5" s="152">
        <v>5</v>
      </c>
      <c r="H5" s="94">
        <v>10</v>
      </c>
      <c r="I5" s="154">
        <f t="shared" si="0"/>
        <v>0.5</v>
      </c>
    </row>
    <row r="6" spans="1:13" x14ac:dyDescent="0.35">
      <c r="A6" s="94">
        <v>2021</v>
      </c>
      <c r="B6" s="152" t="s">
        <v>41</v>
      </c>
      <c r="C6" s="153">
        <v>44256</v>
      </c>
      <c r="D6" s="152" t="s">
        <v>441</v>
      </c>
      <c r="E6" s="152" t="s">
        <v>439</v>
      </c>
      <c r="F6" s="152">
        <v>250</v>
      </c>
      <c r="G6" s="152">
        <v>10</v>
      </c>
      <c r="H6" s="94">
        <v>10</v>
      </c>
      <c r="I6" s="154">
        <f t="shared" si="0"/>
        <v>1</v>
      </c>
    </row>
    <row r="7" spans="1:13" x14ac:dyDescent="0.35">
      <c r="A7" s="94">
        <v>2021</v>
      </c>
      <c r="B7" s="94" t="s">
        <v>41</v>
      </c>
      <c r="C7" s="155">
        <v>44388</v>
      </c>
      <c r="D7" s="152" t="s">
        <v>438</v>
      </c>
      <c r="E7" s="152" t="s">
        <v>439</v>
      </c>
      <c r="F7" s="152">
        <v>250</v>
      </c>
      <c r="G7" s="152">
        <v>5</v>
      </c>
      <c r="H7" s="94">
        <v>10</v>
      </c>
      <c r="I7" s="154">
        <f t="shared" si="0"/>
        <v>0.5</v>
      </c>
    </row>
    <row r="8" spans="1:13" x14ac:dyDescent="0.35">
      <c r="A8" s="94">
        <v>2021</v>
      </c>
      <c r="B8" s="94" t="s">
        <v>41</v>
      </c>
      <c r="C8" s="155">
        <v>44388</v>
      </c>
      <c r="D8" s="152" t="s">
        <v>440</v>
      </c>
      <c r="E8" s="152" t="s">
        <v>439</v>
      </c>
      <c r="F8" s="152">
        <v>250</v>
      </c>
      <c r="G8" s="152">
        <v>8</v>
      </c>
      <c r="H8" s="94">
        <v>10</v>
      </c>
      <c r="I8" s="154">
        <f t="shared" si="0"/>
        <v>0.8</v>
      </c>
    </row>
    <row r="9" spans="1:13" x14ac:dyDescent="0.35">
      <c r="A9" s="94">
        <v>2021</v>
      </c>
      <c r="B9" s="94" t="s">
        <v>41</v>
      </c>
      <c r="C9" s="155">
        <v>44388</v>
      </c>
      <c r="D9" s="152" t="s">
        <v>441</v>
      </c>
      <c r="E9" s="152" t="s">
        <v>439</v>
      </c>
      <c r="F9" s="152">
        <v>250</v>
      </c>
      <c r="G9" s="152">
        <v>8</v>
      </c>
      <c r="H9" s="94">
        <v>10</v>
      </c>
      <c r="I9" s="154">
        <f t="shared" si="0"/>
        <v>0.8</v>
      </c>
    </row>
    <row r="10" spans="1:13" x14ac:dyDescent="0.35">
      <c r="A10" s="94">
        <v>2021</v>
      </c>
      <c r="B10" s="94" t="s">
        <v>41</v>
      </c>
      <c r="C10" s="155">
        <v>44438</v>
      </c>
      <c r="D10" s="152" t="s">
        <v>440</v>
      </c>
      <c r="E10" s="152" t="s">
        <v>439</v>
      </c>
      <c r="F10" s="152">
        <v>260</v>
      </c>
      <c r="G10" s="152">
        <v>7</v>
      </c>
      <c r="H10" s="94">
        <v>10</v>
      </c>
      <c r="I10" s="154">
        <f t="shared" si="0"/>
        <v>0.7</v>
      </c>
      <c r="J10" s="182"/>
      <c r="K10" s="199"/>
    </row>
    <row r="11" spans="1:13" x14ac:dyDescent="0.35">
      <c r="A11" s="94">
        <v>2021</v>
      </c>
      <c r="B11" s="94" t="s">
        <v>41</v>
      </c>
      <c r="C11" s="155">
        <v>44494</v>
      </c>
      <c r="D11" s="152" t="s">
        <v>440</v>
      </c>
      <c r="E11" s="152" t="s">
        <v>439</v>
      </c>
      <c r="F11" s="152">
        <v>260</v>
      </c>
      <c r="G11" s="152">
        <v>7</v>
      </c>
      <c r="H11" s="94">
        <v>10</v>
      </c>
      <c r="I11" s="154">
        <f t="shared" si="0"/>
        <v>0.7</v>
      </c>
      <c r="J11" s="182"/>
      <c r="K11" s="182"/>
    </row>
    <row r="12" spans="1:13" x14ac:dyDescent="0.35">
      <c r="A12" s="94">
        <v>2021</v>
      </c>
      <c r="B12" s="152" t="s">
        <v>41</v>
      </c>
      <c r="C12" s="153">
        <v>44256</v>
      </c>
      <c r="D12" s="152" t="s">
        <v>438</v>
      </c>
      <c r="E12" s="152" t="s">
        <v>443</v>
      </c>
      <c r="F12" s="152">
        <v>250</v>
      </c>
      <c r="G12" s="152">
        <v>5</v>
      </c>
      <c r="H12" s="94">
        <v>10</v>
      </c>
      <c r="I12" s="154">
        <f t="shared" si="0"/>
        <v>0.5</v>
      </c>
      <c r="J12" s="182"/>
      <c r="K12" s="182"/>
    </row>
    <row r="13" spans="1:13" x14ac:dyDescent="0.35">
      <c r="A13" s="94">
        <v>2021</v>
      </c>
      <c r="B13" s="94" t="s">
        <v>41</v>
      </c>
      <c r="C13" s="155">
        <v>44388</v>
      </c>
      <c r="D13" s="152" t="s">
        <v>445</v>
      </c>
      <c r="E13" s="152" t="s">
        <v>443</v>
      </c>
      <c r="F13" s="152">
        <v>250</v>
      </c>
      <c r="G13" s="152">
        <v>9</v>
      </c>
      <c r="H13" s="94">
        <v>10</v>
      </c>
      <c r="I13" s="154">
        <f t="shared" si="0"/>
        <v>0.9</v>
      </c>
    </row>
    <row r="14" spans="1:13" x14ac:dyDescent="0.35">
      <c r="A14" s="94">
        <v>2021</v>
      </c>
      <c r="B14" s="94" t="s">
        <v>41</v>
      </c>
      <c r="C14" s="155">
        <v>44388</v>
      </c>
      <c r="D14" s="152" t="s">
        <v>441</v>
      </c>
      <c r="E14" s="152" t="s">
        <v>443</v>
      </c>
      <c r="F14" s="152">
        <v>250</v>
      </c>
      <c r="G14" s="152">
        <v>11</v>
      </c>
      <c r="H14" s="94">
        <v>11</v>
      </c>
      <c r="I14" s="154">
        <f t="shared" si="0"/>
        <v>1</v>
      </c>
      <c r="J14" s="200"/>
    </row>
    <row r="15" spans="1:13" x14ac:dyDescent="0.35">
      <c r="A15" s="94">
        <v>2021</v>
      </c>
      <c r="B15" s="94" t="s">
        <v>41</v>
      </c>
      <c r="C15" s="155">
        <v>44494</v>
      </c>
      <c r="D15" s="152" t="s">
        <v>446</v>
      </c>
      <c r="E15" s="152" t="s">
        <v>443</v>
      </c>
      <c r="F15" s="152">
        <v>260</v>
      </c>
      <c r="G15" s="152">
        <v>5</v>
      </c>
      <c r="H15" s="94">
        <v>10</v>
      </c>
      <c r="I15" s="154">
        <f t="shared" si="0"/>
        <v>0.5</v>
      </c>
    </row>
    <row r="16" spans="1:13" x14ac:dyDescent="0.35">
      <c r="A16" s="94">
        <v>2021</v>
      </c>
      <c r="B16" s="94" t="s">
        <v>41</v>
      </c>
      <c r="C16" s="155">
        <v>44494</v>
      </c>
      <c r="D16" s="152" t="s">
        <v>438</v>
      </c>
      <c r="E16" s="152" t="s">
        <v>443</v>
      </c>
      <c r="F16" s="152">
        <v>260</v>
      </c>
      <c r="G16" s="152">
        <v>9</v>
      </c>
      <c r="H16" s="94">
        <v>10</v>
      </c>
      <c r="I16" s="154">
        <f t="shared" si="0"/>
        <v>0.9</v>
      </c>
    </row>
    <row r="17" spans="1:11" x14ac:dyDescent="0.35">
      <c r="A17" s="94">
        <v>2021</v>
      </c>
      <c r="B17" s="94" t="s">
        <v>41</v>
      </c>
      <c r="C17" s="155">
        <v>44388</v>
      </c>
      <c r="D17" s="152" t="s">
        <v>440</v>
      </c>
      <c r="E17" s="152" t="s">
        <v>447</v>
      </c>
      <c r="F17" s="152">
        <v>250</v>
      </c>
      <c r="G17" s="152">
        <v>8</v>
      </c>
      <c r="H17" s="94">
        <v>10</v>
      </c>
      <c r="I17" s="154">
        <f t="shared" si="0"/>
        <v>0.8</v>
      </c>
    </row>
    <row r="18" spans="1:11" x14ac:dyDescent="0.35">
      <c r="A18" s="94">
        <v>2021</v>
      </c>
      <c r="B18" s="94" t="s">
        <v>41</v>
      </c>
      <c r="C18" s="155">
        <v>44494</v>
      </c>
      <c r="D18" s="152" t="s">
        <v>440</v>
      </c>
      <c r="E18" s="152" t="s">
        <v>447</v>
      </c>
      <c r="F18" s="152">
        <v>260</v>
      </c>
      <c r="G18" s="152">
        <v>9</v>
      </c>
      <c r="H18" s="94">
        <v>10</v>
      </c>
      <c r="I18" s="154">
        <f t="shared" si="0"/>
        <v>0.9</v>
      </c>
    </row>
    <row r="19" spans="1:11" x14ac:dyDescent="0.35">
      <c r="A19" s="94">
        <v>2021</v>
      </c>
      <c r="B19" s="94" t="s">
        <v>41</v>
      </c>
      <c r="C19" s="155">
        <v>44438</v>
      </c>
      <c r="D19" s="152" t="s">
        <v>440</v>
      </c>
      <c r="E19" s="152" t="s">
        <v>439</v>
      </c>
      <c r="F19" s="152">
        <v>260</v>
      </c>
      <c r="G19" s="152">
        <v>4</v>
      </c>
      <c r="H19" s="94">
        <v>10</v>
      </c>
      <c r="I19" s="154">
        <f t="shared" si="0"/>
        <v>0.4</v>
      </c>
    </row>
    <row r="20" spans="1:11" x14ac:dyDescent="0.35">
      <c r="A20" s="94">
        <v>2021</v>
      </c>
      <c r="B20" s="94" t="s">
        <v>41</v>
      </c>
      <c r="C20" s="155">
        <v>44494</v>
      </c>
      <c r="D20" s="152" t="s">
        <v>440</v>
      </c>
      <c r="E20" s="152" t="s">
        <v>439</v>
      </c>
      <c r="F20" s="152">
        <v>260</v>
      </c>
      <c r="G20" s="152">
        <v>7</v>
      </c>
      <c r="H20" s="94">
        <v>10</v>
      </c>
      <c r="I20" s="154">
        <f t="shared" si="0"/>
        <v>0.7</v>
      </c>
    </row>
    <row r="21" spans="1:11" x14ac:dyDescent="0.35">
      <c r="A21" s="94">
        <v>2021</v>
      </c>
      <c r="B21" s="94" t="s">
        <v>43</v>
      </c>
      <c r="C21" s="155">
        <v>44388</v>
      </c>
      <c r="D21" s="152" t="s">
        <v>440</v>
      </c>
      <c r="E21" s="152" t="s">
        <v>439</v>
      </c>
      <c r="F21" s="152">
        <v>250</v>
      </c>
      <c r="G21" s="152">
        <v>8</v>
      </c>
      <c r="H21" s="94">
        <v>10</v>
      </c>
      <c r="I21" s="154">
        <f t="shared" ref="I21:I26" si="1">G21/H21</f>
        <v>0.8</v>
      </c>
    </row>
    <row r="22" spans="1:11" x14ac:dyDescent="0.35">
      <c r="A22" s="94">
        <v>2021</v>
      </c>
      <c r="B22" s="94" t="s">
        <v>43</v>
      </c>
      <c r="C22" s="155">
        <v>44388</v>
      </c>
      <c r="D22" s="152" t="s">
        <v>441</v>
      </c>
      <c r="E22" s="152" t="s">
        <v>439</v>
      </c>
      <c r="F22" s="152">
        <v>250</v>
      </c>
      <c r="G22" s="152">
        <v>9</v>
      </c>
      <c r="H22" s="94">
        <v>10</v>
      </c>
      <c r="I22" s="154">
        <f t="shared" si="1"/>
        <v>0.9</v>
      </c>
    </row>
    <row r="23" spans="1:11" x14ac:dyDescent="0.35">
      <c r="A23" s="94">
        <v>2021</v>
      </c>
      <c r="B23" s="94" t="s">
        <v>43</v>
      </c>
      <c r="C23" s="155">
        <v>44494</v>
      </c>
      <c r="D23" s="152" t="s">
        <v>449</v>
      </c>
      <c r="E23" s="152" t="s">
        <v>443</v>
      </c>
      <c r="F23" s="152">
        <v>260</v>
      </c>
      <c r="G23" s="152">
        <v>9</v>
      </c>
      <c r="H23" s="94">
        <v>10</v>
      </c>
      <c r="I23" s="154">
        <f t="shared" si="1"/>
        <v>0.9</v>
      </c>
      <c r="K23" s="160"/>
    </row>
    <row r="24" spans="1:11" x14ac:dyDescent="0.35">
      <c r="A24" s="94">
        <v>2021</v>
      </c>
      <c r="B24" s="94" t="s">
        <v>43</v>
      </c>
      <c r="C24" s="155">
        <v>44438</v>
      </c>
      <c r="D24" s="152" t="s">
        <v>441</v>
      </c>
      <c r="E24" s="152" t="s">
        <v>447</v>
      </c>
      <c r="F24" s="152">
        <v>260</v>
      </c>
      <c r="G24" s="152">
        <v>2</v>
      </c>
      <c r="H24" s="94">
        <v>10</v>
      </c>
      <c r="I24" s="154">
        <f t="shared" si="1"/>
        <v>0.2</v>
      </c>
    </row>
    <row r="25" spans="1:11" x14ac:dyDescent="0.35">
      <c r="A25" s="94">
        <v>2021</v>
      </c>
      <c r="B25" s="94" t="s">
        <v>43</v>
      </c>
      <c r="C25" s="155">
        <v>44494</v>
      </c>
      <c r="D25" s="152" t="s">
        <v>441</v>
      </c>
      <c r="E25" s="152" t="s">
        <v>447</v>
      </c>
      <c r="F25" s="152">
        <v>260</v>
      </c>
      <c r="G25" s="152">
        <v>4</v>
      </c>
      <c r="H25" s="94">
        <v>10</v>
      </c>
      <c r="I25" s="154">
        <f t="shared" si="1"/>
        <v>0.4</v>
      </c>
    </row>
    <row r="26" spans="1:11" ht="15" thickBot="1" x14ac:dyDescent="0.4">
      <c r="A26" s="94">
        <v>2021</v>
      </c>
      <c r="B26" s="94" t="s">
        <v>46</v>
      </c>
      <c r="C26" s="155">
        <v>44381</v>
      </c>
      <c r="D26" s="152" t="s">
        <v>441</v>
      </c>
      <c r="E26" s="152" t="s">
        <v>439</v>
      </c>
      <c r="F26" s="152">
        <v>260</v>
      </c>
      <c r="G26" s="152">
        <v>5</v>
      </c>
      <c r="H26" s="94">
        <v>10</v>
      </c>
      <c r="I26" s="156">
        <f t="shared" si="1"/>
        <v>0.5</v>
      </c>
      <c r="K26" s="160"/>
    </row>
    <row r="27" spans="1:11" ht="15" thickBot="1" x14ac:dyDescent="0.4">
      <c r="A27" s="94">
        <v>2021</v>
      </c>
      <c r="B27" s="94" t="s">
        <v>50</v>
      </c>
      <c r="C27" s="155">
        <v>44388</v>
      </c>
      <c r="D27" s="158" t="s">
        <v>440</v>
      </c>
      <c r="E27" s="152" t="s">
        <v>439</v>
      </c>
      <c r="F27" s="158">
        <v>250</v>
      </c>
      <c r="G27" s="158">
        <v>5</v>
      </c>
      <c r="H27" s="94">
        <v>10</v>
      </c>
      <c r="I27" s="154">
        <f t="shared" ref="I27:I36" si="2">G27/H27</f>
        <v>0.5</v>
      </c>
    </row>
    <row r="28" spans="1:11" ht="15" thickBot="1" x14ac:dyDescent="0.4">
      <c r="A28" s="94">
        <v>2021</v>
      </c>
      <c r="B28" s="94" t="s">
        <v>50</v>
      </c>
      <c r="C28" s="155">
        <v>44438</v>
      </c>
      <c r="D28" s="158" t="s">
        <v>440</v>
      </c>
      <c r="E28" s="152" t="s">
        <v>439</v>
      </c>
      <c r="F28" s="158">
        <v>260</v>
      </c>
      <c r="G28" s="158">
        <v>6</v>
      </c>
      <c r="H28" s="94">
        <v>10</v>
      </c>
      <c r="I28" s="154">
        <f t="shared" si="2"/>
        <v>0.6</v>
      </c>
    </row>
    <row r="29" spans="1:11" ht="15" thickBot="1" x14ac:dyDescent="0.4">
      <c r="A29" s="94">
        <v>2021</v>
      </c>
      <c r="B29" s="94" t="s">
        <v>50</v>
      </c>
      <c r="C29" s="155">
        <v>44438</v>
      </c>
      <c r="D29" s="158" t="s">
        <v>441</v>
      </c>
      <c r="E29" s="152" t="s">
        <v>439</v>
      </c>
      <c r="F29" s="158">
        <v>260</v>
      </c>
      <c r="G29" s="158">
        <v>7</v>
      </c>
      <c r="H29" s="94">
        <v>10</v>
      </c>
      <c r="I29" s="154">
        <f t="shared" si="2"/>
        <v>0.7</v>
      </c>
    </row>
    <row r="30" spans="1:11" ht="15" thickBot="1" x14ac:dyDescent="0.4">
      <c r="A30" s="94">
        <v>2021</v>
      </c>
      <c r="B30" s="94" t="s">
        <v>50</v>
      </c>
      <c r="C30" s="155">
        <v>44494</v>
      </c>
      <c r="D30" s="158" t="s">
        <v>441</v>
      </c>
      <c r="E30" s="152" t="s">
        <v>439</v>
      </c>
      <c r="F30" s="158">
        <v>260</v>
      </c>
      <c r="G30" s="158">
        <v>8</v>
      </c>
      <c r="H30" s="94">
        <v>10</v>
      </c>
      <c r="I30" s="154">
        <f t="shared" si="2"/>
        <v>0.8</v>
      </c>
    </row>
    <row r="31" spans="1:11" ht="15" thickBot="1" x14ac:dyDescent="0.4">
      <c r="A31" s="94">
        <v>2021</v>
      </c>
      <c r="B31" s="94" t="s">
        <v>50</v>
      </c>
      <c r="C31" s="155">
        <v>44494</v>
      </c>
      <c r="D31" s="158" t="s">
        <v>441</v>
      </c>
      <c r="E31" s="152" t="s">
        <v>439</v>
      </c>
      <c r="F31" s="158">
        <v>260</v>
      </c>
      <c r="G31" s="158">
        <v>4</v>
      </c>
      <c r="H31" s="94">
        <v>10</v>
      </c>
      <c r="I31" s="154">
        <f t="shared" si="2"/>
        <v>0.4</v>
      </c>
      <c r="K31" s="160"/>
    </row>
    <row r="32" spans="1:11" ht="15" thickBot="1" x14ac:dyDescent="0.4">
      <c r="A32" s="94">
        <v>2021</v>
      </c>
      <c r="B32" s="152" t="s">
        <v>50</v>
      </c>
      <c r="C32" s="153">
        <v>44256</v>
      </c>
      <c r="D32" s="158" t="s">
        <v>448</v>
      </c>
      <c r="E32" s="152" t="s">
        <v>443</v>
      </c>
      <c r="F32" s="158">
        <v>250</v>
      </c>
      <c r="G32" s="158">
        <v>5</v>
      </c>
      <c r="H32" s="94">
        <v>10</v>
      </c>
      <c r="I32" s="154">
        <f t="shared" si="2"/>
        <v>0.5</v>
      </c>
    </row>
    <row r="33" spans="1:11" ht="15" thickBot="1" x14ac:dyDescent="0.4">
      <c r="A33" s="94">
        <v>2021</v>
      </c>
      <c r="B33" s="94" t="s">
        <v>50</v>
      </c>
      <c r="C33" s="155">
        <v>44388</v>
      </c>
      <c r="D33" s="158" t="s">
        <v>449</v>
      </c>
      <c r="E33" s="152" t="s">
        <v>443</v>
      </c>
      <c r="F33" s="158">
        <v>250</v>
      </c>
      <c r="G33" s="158">
        <v>9</v>
      </c>
      <c r="H33" s="94">
        <v>10</v>
      </c>
      <c r="I33" s="154">
        <f t="shared" si="2"/>
        <v>0.9</v>
      </c>
    </row>
    <row r="34" spans="1:11" ht="15" thickBot="1" x14ac:dyDescent="0.4">
      <c r="A34" s="94">
        <v>2021</v>
      </c>
      <c r="B34" s="94" t="s">
        <v>50</v>
      </c>
      <c r="C34" s="155">
        <v>44438</v>
      </c>
      <c r="D34" s="158" t="s">
        <v>448</v>
      </c>
      <c r="E34" s="152" t="s">
        <v>443</v>
      </c>
      <c r="F34" s="158">
        <v>260</v>
      </c>
      <c r="G34" s="158">
        <v>5</v>
      </c>
      <c r="H34" s="94">
        <v>10</v>
      </c>
      <c r="I34" s="154">
        <f t="shared" si="2"/>
        <v>0.5</v>
      </c>
    </row>
    <row r="35" spans="1:11" ht="15" thickBot="1" x14ac:dyDescent="0.4">
      <c r="A35" s="94">
        <v>2021</v>
      </c>
      <c r="B35" s="94" t="s">
        <v>50</v>
      </c>
      <c r="C35" s="155">
        <v>44438</v>
      </c>
      <c r="D35" s="158" t="s">
        <v>449</v>
      </c>
      <c r="E35" s="152" t="s">
        <v>443</v>
      </c>
      <c r="F35" s="158">
        <v>260</v>
      </c>
      <c r="G35" s="158">
        <v>7</v>
      </c>
      <c r="H35" s="94">
        <v>10</v>
      </c>
      <c r="I35" s="154">
        <f t="shared" si="2"/>
        <v>0.7</v>
      </c>
    </row>
    <row r="36" spans="1:11" ht="15" thickBot="1" x14ac:dyDescent="0.4">
      <c r="A36" s="94">
        <v>2021</v>
      </c>
      <c r="B36" s="94" t="s">
        <v>50</v>
      </c>
      <c r="C36" s="155">
        <v>44494</v>
      </c>
      <c r="D36" s="158" t="s">
        <v>448</v>
      </c>
      <c r="E36" s="152" t="s">
        <v>443</v>
      </c>
      <c r="F36" s="158">
        <v>260</v>
      </c>
      <c r="G36" s="158">
        <v>9</v>
      </c>
      <c r="H36" s="94">
        <v>10</v>
      </c>
      <c r="I36" s="154">
        <f t="shared" si="2"/>
        <v>0.9</v>
      </c>
    </row>
    <row r="37" spans="1:11" ht="15" thickBot="1" x14ac:dyDescent="0.4">
      <c r="A37" s="94">
        <v>2021</v>
      </c>
      <c r="B37" s="94" t="s">
        <v>52</v>
      </c>
      <c r="C37" s="155">
        <v>44388</v>
      </c>
      <c r="D37" s="158" t="s">
        <v>440</v>
      </c>
      <c r="E37" s="152" t="s">
        <v>439</v>
      </c>
      <c r="F37" s="158">
        <v>250</v>
      </c>
      <c r="G37" s="158">
        <v>10</v>
      </c>
      <c r="H37" s="94">
        <v>10</v>
      </c>
      <c r="I37" s="154">
        <f t="shared" ref="I37:I50" si="3">G37/H37</f>
        <v>1</v>
      </c>
    </row>
    <row r="38" spans="1:11" ht="15" thickBot="1" x14ac:dyDescent="0.4">
      <c r="A38" s="94">
        <v>2021</v>
      </c>
      <c r="B38" s="94" t="s">
        <v>52</v>
      </c>
      <c r="C38" s="155">
        <v>44438</v>
      </c>
      <c r="D38" s="158" t="s">
        <v>440</v>
      </c>
      <c r="E38" s="152" t="s">
        <v>439</v>
      </c>
      <c r="F38" s="158">
        <v>260</v>
      </c>
      <c r="G38" s="158">
        <v>4</v>
      </c>
      <c r="H38" s="94">
        <v>10</v>
      </c>
      <c r="I38" s="154">
        <f t="shared" si="3"/>
        <v>0.4</v>
      </c>
    </row>
    <row r="39" spans="1:11" ht="15" thickBot="1" x14ac:dyDescent="0.4">
      <c r="A39" s="94">
        <v>2021</v>
      </c>
      <c r="B39" s="94" t="s">
        <v>52</v>
      </c>
      <c r="C39" s="155">
        <v>44494</v>
      </c>
      <c r="D39" s="158" t="s">
        <v>440</v>
      </c>
      <c r="E39" s="152" t="s">
        <v>439</v>
      </c>
      <c r="F39" s="158">
        <v>260</v>
      </c>
      <c r="G39" s="158">
        <v>3</v>
      </c>
      <c r="H39" s="94">
        <v>10</v>
      </c>
      <c r="I39" s="154">
        <f t="shared" si="3"/>
        <v>0.3</v>
      </c>
    </row>
    <row r="40" spans="1:11" ht="15" thickBot="1" x14ac:dyDescent="0.4">
      <c r="A40" s="94">
        <v>2021</v>
      </c>
      <c r="B40" s="152" t="s">
        <v>52</v>
      </c>
      <c r="C40" s="153">
        <v>44256</v>
      </c>
      <c r="D40" s="158" t="s">
        <v>445</v>
      </c>
      <c r="E40" s="152" t="s">
        <v>443</v>
      </c>
      <c r="F40" s="158">
        <v>250</v>
      </c>
      <c r="G40" s="158">
        <v>8</v>
      </c>
      <c r="H40" s="94">
        <v>10</v>
      </c>
      <c r="I40" s="154">
        <f t="shared" si="3"/>
        <v>0.8</v>
      </c>
    </row>
    <row r="41" spans="1:11" ht="15" thickBot="1" x14ac:dyDescent="0.4">
      <c r="A41" s="94">
        <v>2021</v>
      </c>
      <c r="B41" s="152" t="s">
        <v>52</v>
      </c>
      <c r="C41" s="153">
        <v>44256</v>
      </c>
      <c r="D41" s="158" t="s">
        <v>448</v>
      </c>
      <c r="E41" s="152" t="s">
        <v>443</v>
      </c>
      <c r="F41" s="158">
        <v>250</v>
      </c>
      <c r="G41" s="158">
        <v>10</v>
      </c>
      <c r="H41" s="94">
        <v>10</v>
      </c>
      <c r="I41" s="154">
        <f t="shared" si="3"/>
        <v>1</v>
      </c>
    </row>
    <row r="42" spans="1:11" ht="15" thickBot="1" x14ac:dyDescent="0.4">
      <c r="A42" s="94">
        <v>2021</v>
      </c>
      <c r="B42" s="152" t="s">
        <v>52</v>
      </c>
      <c r="C42" s="153">
        <v>44256</v>
      </c>
      <c r="D42" s="158" t="s">
        <v>449</v>
      </c>
      <c r="E42" s="152" t="s">
        <v>443</v>
      </c>
      <c r="F42" s="158">
        <v>250</v>
      </c>
      <c r="G42" s="158">
        <v>10</v>
      </c>
      <c r="H42" s="94">
        <v>10</v>
      </c>
      <c r="I42" s="154">
        <f t="shared" si="3"/>
        <v>1</v>
      </c>
    </row>
    <row r="43" spans="1:11" ht="15" thickBot="1" x14ac:dyDescent="0.4">
      <c r="A43" s="94">
        <v>2021</v>
      </c>
      <c r="B43" s="152" t="s">
        <v>52</v>
      </c>
      <c r="C43" s="153">
        <v>44256</v>
      </c>
      <c r="D43" s="158" t="s">
        <v>446</v>
      </c>
      <c r="E43" s="152" t="s">
        <v>443</v>
      </c>
      <c r="F43" s="158">
        <v>250</v>
      </c>
      <c r="G43" s="158">
        <v>9</v>
      </c>
      <c r="H43" s="94">
        <v>10</v>
      </c>
      <c r="I43" s="154">
        <f t="shared" si="3"/>
        <v>0.9</v>
      </c>
    </row>
    <row r="44" spans="1:11" ht="15" thickBot="1" x14ac:dyDescent="0.4">
      <c r="A44" s="94">
        <v>2021</v>
      </c>
      <c r="B44" s="94" t="s">
        <v>52</v>
      </c>
      <c r="C44" s="155">
        <v>44388</v>
      </c>
      <c r="D44" s="158" t="s">
        <v>448</v>
      </c>
      <c r="E44" s="152" t="s">
        <v>443</v>
      </c>
      <c r="F44" s="158">
        <v>250</v>
      </c>
      <c r="G44" s="158">
        <v>9</v>
      </c>
      <c r="H44" s="94">
        <v>10</v>
      </c>
      <c r="I44" s="154">
        <f t="shared" si="3"/>
        <v>0.9</v>
      </c>
      <c r="K44" s="160"/>
    </row>
    <row r="45" spans="1:11" ht="15" thickBot="1" x14ac:dyDescent="0.4">
      <c r="A45" s="94">
        <v>2021</v>
      </c>
      <c r="B45" s="94" t="s">
        <v>52</v>
      </c>
      <c r="C45" s="155">
        <v>44388</v>
      </c>
      <c r="D45" s="158" t="s">
        <v>445</v>
      </c>
      <c r="E45" s="152" t="s">
        <v>443</v>
      </c>
      <c r="F45" s="158">
        <v>250</v>
      </c>
      <c r="G45" s="158">
        <v>5</v>
      </c>
      <c r="H45" s="94">
        <v>10</v>
      </c>
      <c r="I45" s="154">
        <f t="shared" si="3"/>
        <v>0.5</v>
      </c>
    </row>
    <row r="46" spans="1:11" ht="15" thickBot="1" x14ac:dyDescent="0.4">
      <c r="A46" s="94">
        <v>2021</v>
      </c>
      <c r="B46" s="94" t="s">
        <v>52</v>
      </c>
      <c r="C46" s="155">
        <v>44388</v>
      </c>
      <c r="D46" s="158" t="s">
        <v>449</v>
      </c>
      <c r="E46" s="152" t="s">
        <v>443</v>
      </c>
      <c r="F46" s="158">
        <v>250</v>
      </c>
      <c r="G46" s="158">
        <v>6</v>
      </c>
      <c r="H46" s="94">
        <v>10</v>
      </c>
      <c r="I46" s="154">
        <f t="shared" si="3"/>
        <v>0.6</v>
      </c>
    </row>
    <row r="47" spans="1:11" ht="15" thickBot="1" x14ac:dyDescent="0.4">
      <c r="A47" s="94">
        <v>2021</v>
      </c>
      <c r="B47" s="94" t="s">
        <v>52</v>
      </c>
      <c r="C47" s="155">
        <v>44438</v>
      </c>
      <c r="D47" s="158" t="s">
        <v>448</v>
      </c>
      <c r="E47" s="152" t="s">
        <v>443</v>
      </c>
      <c r="F47" s="158">
        <v>260</v>
      </c>
      <c r="G47" s="158">
        <v>6</v>
      </c>
      <c r="H47" s="94">
        <v>10</v>
      </c>
      <c r="I47" s="154">
        <f t="shared" si="3"/>
        <v>0.6</v>
      </c>
    </row>
    <row r="48" spans="1:11" ht="15" thickBot="1" x14ac:dyDescent="0.4">
      <c r="A48" s="94">
        <v>2021</v>
      </c>
      <c r="B48" s="94" t="s">
        <v>52</v>
      </c>
      <c r="C48" s="155">
        <v>44494</v>
      </c>
      <c r="D48" s="158" t="s">
        <v>448</v>
      </c>
      <c r="E48" s="152" t="s">
        <v>443</v>
      </c>
      <c r="F48" s="158">
        <v>260</v>
      </c>
      <c r="G48" s="158">
        <v>8</v>
      </c>
      <c r="H48" s="94">
        <v>10</v>
      </c>
      <c r="I48" s="154">
        <f t="shared" si="3"/>
        <v>0.8</v>
      </c>
    </row>
    <row r="49" spans="1:11" ht="15" thickBot="1" x14ac:dyDescent="0.4">
      <c r="A49" s="94">
        <v>2021</v>
      </c>
      <c r="B49" s="94" t="s">
        <v>52</v>
      </c>
      <c r="C49" s="155">
        <v>44494</v>
      </c>
      <c r="D49" s="158" t="s">
        <v>445</v>
      </c>
      <c r="E49" s="152" t="s">
        <v>443</v>
      </c>
      <c r="F49" s="158">
        <v>260</v>
      </c>
      <c r="G49" s="158">
        <v>6</v>
      </c>
      <c r="H49" s="94">
        <v>10</v>
      </c>
      <c r="I49" s="154">
        <f t="shared" si="3"/>
        <v>0.6</v>
      </c>
    </row>
    <row r="50" spans="1:11" ht="15" thickBot="1" x14ac:dyDescent="0.4">
      <c r="A50" s="94">
        <v>2021</v>
      </c>
      <c r="B50" s="94" t="s">
        <v>52</v>
      </c>
      <c r="C50" s="155">
        <v>44494</v>
      </c>
      <c r="D50" s="158" t="s">
        <v>449</v>
      </c>
      <c r="E50" s="152" t="s">
        <v>443</v>
      </c>
      <c r="F50" s="158">
        <v>260</v>
      </c>
      <c r="G50" s="158">
        <v>6</v>
      </c>
      <c r="H50" s="94">
        <v>10</v>
      </c>
      <c r="I50" s="154">
        <f t="shared" si="3"/>
        <v>0.6</v>
      </c>
    </row>
    <row r="51" spans="1:11" ht="15" thickBot="1" x14ac:dyDescent="0.4">
      <c r="A51" s="94">
        <v>2021</v>
      </c>
      <c r="B51" s="152" t="s">
        <v>54</v>
      </c>
      <c r="C51" s="153">
        <v>44256</v>
      </c>
      <c r="D51" s="158" t="s">
        <v>440</v>
      </c>
      <c r="E51" s="152" t="s">
        <v>439</v>
      </c>
      <c r="F51" s="158">
        <v>250</v>
      </c>
      <c r="G51" s="158">
        <v>5</v>
      </c>
      <c r="H51" s="94">
        <v>10</v>
      </c>
      <c r="I51" s="154">
        <f t="shared" ref="I51:I56" si="4">G51/H51</f>
        <v>0.5</v>
      </c>
    </row>
    <row r="52" spans="1:11" ht="15" thickBot="1" x14ac:dyDescent="0.4">
      <c r="A52" s="94">
        <v>2021</v>
      </c>
      <c r="B52" s="94" t="s">
        <v>54</v>
      </c>
      <c r="C52" s="155">
        <v>44494</v>
      </c>
      <c r="D52" s="158" t="s">
        <v>440</v>
      </c>
      <c r="E52" s="152" t="s">
        <v>439</v>
      </c>
      <c r="F52" s="158">
        <v>260</v>
      </c>
      <c r="G52" s="158">
        <v>4</v>
      </c>
      <c r="H52" s="94">
        <v>10</v>
      </c>
      <c r="I52" s="154">
        <f t="shared" si="4"/>
        <v>0.4</v>
      </c>
    </row>
    <row r="53" spans="1:11" ht="15" thickBot="1" x14ac:dyDescent="0.4">
      <c r="A53" s="94">
        <v>2021</v>
      </c>
      <c r="B53" s="94" t="s">
        <v>54</v>
      </c>
      <c r="C53" s="155">
        <v>44388</v>
      </c>
      <c r="D53" s="158" t="s">
        <v>446</v>
      </c>
      <c r="E53" s="152" t="s">
        <v>443</v>
      </c>
      <c r="F53" s="158">
        <v>250</v>
      </c>
      <c r="G53" s="158">
        <v>11</v>
      </c>
      <c r="H53" s="94">
        <v>11</v>
      </c>
      <c r="I53" s="154">
        <f t="shared" si="4"/>
        <v>1</v>
      </c>
      <c r="K53" s="160"/>
    </row>
    <row r="54" spans="1:11" ht="15" thickBot="1" x14ac:dyDescent="0.4">
      <c r="A54" s="94">
        <v>2021</v>
      </c>
      <c r="B54" s="94" t="s">
        <v>54</v>
      </c>
      <c r="C54" s="155">
        <v>44438</v>
      </c>
      <c r="D54" s="158" t="s">
        <v>449</v>
      </c>
      <c r="E54" s="152" t="s">
        <v>443</v>
      </c>
      <c r="F54" s="158">
        <v>260</v>
      </c>
      <c r="G54" s="158">
        <v>7</v>
      </c>
      <c r="H54" s="94">
        <v>10</v>
      </c>
      <c r="I54" s="154">
        <f t="shared" si="4"/>
        <v>0.7</v>
      </c>
    </row>
    <row r="55" spans="1:11" ht="15" thickBot="1" x14ac:dyDescent="0.4">
      <c r="A55" s="94">
        <v>2021</v>
      </c>
      <c r="B55" s="94" t="s">
        <v>54</v>
      </c>
      <c r="C55" s="155">
        <v>44494</v>
      </c>
      <c r="D55" s="158" t="s">
        <v>448</v>
      </c>
      <c r="E55" s="152" t="s">
        <v>443</v>
      </c>
      <c r="F55" s="158">
        <v>260</v>
      </c>
      <c r="G55" s="158">
        <v>3</v>
      </c>
      <c r="H55" s="94">
        <v>10</v>
      </c>
      <c r="I55" s="154">
        <f t="shared" si="4"/>
        <v>0.3</v>
      </c>
    </row>
    <row r="56" spans="1:11" ht="15" thickBot="1" x14ac:dyDescent="0.4">
      <c r="A56" s="94">
        <v>2021</v>
      </c>
      <c r="B56" s="94" t="s">
        <v>54</v>
      </c>
      <c r="C56" s="155">
        <v>44494</v>
      </c>
      <c r="D56" s="158" t="s">
        <v>449</v>
      </c>
      <c r="E56" s="152" t="s">
        <v>443</v>
      </c>
      <c r="F56" s="158">
        <v>260</v>
      </c>
      <c r="G56" s="158">
        <v>7</v>
      </c>
      <c r="H56" s="94">
        <v>10</v>
      </c>
      <c r="I56" s="154">
        <f t="shared" si="4"/>
        <v>0.7</v>
      </c>
    </row>
    <row r="57" spans="1:11" ht="15" thickBot="1" x14ac:dyDescent="0.4">
      <c r="A57" s="94">
        <v>2021</v>
      </c>
      <c r="B57" s="94" t="s">
        <v>56</v>
      </c>
      <c r="C57" s="155">
        <v>44494</v>
      </c>
      <c r="D57" s="158" t="s">
        <v>441</v>
      </c>
      <c r="E57" s="152" t="s">
        <v>439</v>
      </c>
      <c r="F57" s="158">
        <v>180</v>
      </c>
      <c r="G57" s="158">
        <v>7</v>
      </c>
      <c r="H57" s="94">
        <v>10</v>
      </c>
      <c r="I57" s="154">
        <f>G57/H57</f>
        <v>0.7</v>
      </c>
    </row>
    <row r="58" spans="1:11" ht="15" thickBot="1" x14ac:dyDescent="0.4">
      <c r="A58" s="94">
        <v>2021</v>
      </c>
      <c r="B58" s="152" t="s">
        <v>56</v>
      </c>
      <c r="C58" s="153">
        <v>44256</v>
      </c>
      <c r="D58" s="158" t="s">
        <v>445</v>
      </c>
      <c r="E58" s="152" t="s">
        <v>443</v>
      </c>
      <c r="F58" s="158">
        <v>180</v>
      </c>
      <c r="G58" s="158">
        <v>8</v>
      </c>
      <c r="H58" s="94">
        <v>10</v>
      </c>
      <c r="I58" s="154">
        <f>G58/H58</f>
        <v>0.8</v>
      </c>
      <c r="K58" s="160"/>
    </row>
    <row r="59" spans="1:11" ht="15" thickBot="1" x14ac:dyDescent="0.4">
      <c r="A59" s="94">
        <v>2021</v>
      </c>
      <c r="B59" s="94" t="s">
        <v>56</v>
      </c>
      <c r="C59" s="155">
        <v>44388</v>
      </c>
      <c r="D59" s="158" t="s">
        <v>445</v>
      </c>
      <c r="E59" s="152" t="s">
        <v>443</v>
      </c>
      <c r="F59" s="158">
        <v>180</v>
      </c>
      <c r="G59" s="158">
        <v>6</v>
      </c>
      <c r="H59" s="94">
        <v>10</v>
      </c>
      <c r="I59" s="154">
        <f>G59/H59</f>
        <v>0.6</v>
      </c>
    </row>
    <row r="60" spans="1:11" x14ac:dyDescent="0.35">
      <c r="A60" s="94">
        <v>2021</v>
      </c>
      <c r="B60" s="94" t="s">
        <v>56</v>
      </c>
      <c r="C60" s="155">
        <v>44438</v>
      </c>
      <c r="D60" s="158" t="s">
        <v>445</v>
      </c>
      <c r="E60" s="152" t="s">
        <v>443</v>
      </c>
      <c r="F60" s="158">
        <v>180</v>
      </c>
      <c r="G60" s="158">
        <v>7</v>
      </c>
      <c r="H60" s="94">
        <v>10</v>
      </c>
      <c r="I60" s="154">
        <f>G60/H60</f>
        <v>0.7</v>
      </c>
    </row>
    <row r="61" spans="1:11" x14ac:dyDescent="0.35">
      <c r="A61" s="95">
        <v>2021</v>
      </c>
      <c r="B61" s="175" t="s">
        <v>48</v>
      </c>
      <c r="C61" s="176">
        <v>44256</v>
      </c>
      <c r="D61" s="175" t="s">
        <v>438</v>
      </c>
      <c r="E61" s="175" t="s">
        <v>443</v>
      </c>
      <c r="F61" s="175">
        <v>220</v>
      </c>
      <c r="G61" s="175">
        <v>4</v>
      </c>
      <c r="H61" s="1">
        <v>10</v>
      </c>
      <c r="I61" s="173">
        <v>0.4</v>
      </c>
    </row>
    <row r="62" spans="1:11" x14ac:dyDescent="0.35">
      <c r="A62" s="95">
        <v>2021</v>
      </c>
      <c r="B62" s="175" t="s">
        <v>48</v>
      </c>
      <c r="C62" s="176">
        <v>44256</v>
      </c>
      <c r="D62" s="175" t="s">
        <v>448</v>
      </c>
      <c r="E62" s="175" t="s">
        <v>443</v>
      </c>
      <c r="F62" s="175">
        <v>240</v>
      </c>
      <c r="G62" s="175">
        <v>9</v>
      </c>
      <c r="H62" s="1">
        <v>10</v>
      </c>
      <c r="I62" s="173">
        <v>0.9</v>
      </c>
    </row>
    <row r="63" spans="1:11" x14ac:dyDescent="0.35">
      <c r="A63" s="95">
        <v>2021</v>
      </c>
      <c r="B63" s="175" t="s">
        <v>48</v>
      </c>
      <c r="C63" s="176">
        <v>44256</v>
      </c>
      <c r="D63" s="175" t="s">
        <v>449</v>
      </c>
      <c r="E63" s="175" t="s">
        <v>443</v>
      </c>
      <c r="F63" s="175">
        <v>240</v>
      </c>
      <c r="G63" s="175">
        <v>9</v>
      </c>
      <c r="H63" s="1">
        <v>10</v>
      </c>
      <c r="I63" s="173">
        <v>0.9</v>
      </c>
    </row>
    <row r="64" spans="1:11" x14ac:dyDescent="0.35">
      <c r="A64" s="95">
        <v>2021</v>
      </c>
      <c r="B64" s="175" t="s">
        <v>48</v>
      </c>
      <c r="C64" s="176">
        <v>44256</v>
      </c>
      <c r="D64" s="175" t="s">
        <v>446</v>
      </c>
      <c r="E64" s="175" t="s">
        <v>443</v>
      </c>
      <c r="F64" s="175">
        <v>240</v>
      </c>
      <c r="G64" s="175">
        <v>8</v>
      </c>
      <c r="H64" s="1">
        <v>10</v>
      </c>
      <c r="I64" s="173">
        <v>0.8</v>
      </c>
      <c r="K64" s="160"/>
    </row>
    <row r="65" spans="1:10" x14ac:dyDescent="0.35">
      <c r="A65" s="95">
        <v>2021</v>
      </c>
      <c r="B65" s="175" t="s">
        <v>48</v>
      </c>
      <c r="C65" s="176">
        <v>44256</v>
      </c>
      <c r="D65" s="175" t="s">
        <v>446</v>
      </c>
      <c r="E65" s="175" t="s">
        <v>443</v>
      </c>
      <c r="F65" s="175">
        <v>240</v>
      </c>
      <c r="G65" s="175">
        <v>8</v>
      </c>
      <c r="H65" s="1">
        <v>10</v>
      </c>
      <c r="I65" s="173">
        <v>0.8</v>
      </c>
    </row>
    <row r="66" spans="1:10" x14ac:dyDescent="0.35">
      <c r="A66" s="95">
        <v>2021</v>
      </c>
      <c r="B66" s="1" t="s">
        <v>48</v>
      </c>
      <c r="C66" s="177">
        <v>44388</v>
      </c>
      <c r="D66" s="172" t="s">
        <v>441</v>
      </c>
      <c r="E66" s="175" t="s">
        <v>439</v>
      </c>
      <c r="F66" s="175">
        <v>240</v>
      </c>
      <c r="G66" s="175">
        <v>9</v>
      </c>
      <c r="H66" s="1">
        <v>10</v>
      </c>
      <c r="I66" s="173">
        <v>0.9</v>
      </c>
    </row>
    <row r="67" spans="1:10" x14ac:dyDescent="0.35">
      <c r="A67" s="95">
        <v>2021</v>
      </c>
      <c r="B67" s="1" t="s">
        <v>48</v>
      </c>
      <c r="C67" s="177">
        <v>44388</v>
      </c>
      <c r="D67" s="172" t="s">
        <v>441</v>
      </c>
      <c r="E67" s="175" t="s">
        <v>443</v>
      </c>
      <c r="F67" s="175">
        <v>220</v>
      </c>
      <c r="G67" s="175">
        <v>8</v>
      </c>
      <c r="H67" s="1">
        <v>10</v>
      </c>
      <c r="I67" s="173">
        <v>0.8</v>
      </c>
    </row>
    <row r="68" spans="1:10" x14ac:dyDescent="0.35">
      <c r="A68" s="95">
        <v>2021</v>
      </c>
      <c r="B68" s="1" t="s">
        <v>48</v>
      </c>
      <c r="C68" s="177">
        <v>44388</v>
      </c>
      <c r="D68" s="172" t="s">
        <v>448</v>
      </c>
      <c r="E68" s="175" t="s">
        <v>443</v>
      </c>
      <c r="F68" s="175">
        <v>240</v>
      </c>
      <c r="G68" s="175">
        <v>10</v>
      </c>
      <c r="H68" s="1">
        <v>10</v>
      </c>
      <c r="I68" s="173">
        <v>1</v>
      </c>
    </row>
    <row r="69" spans="1:10" x14ac:dyDescent="0.35">
      <c r="A69" s="95">
        <v>2021</v>
      </c>
      <c r="B69" s="1" t="s">
        <v>48</v>
      </c>
      <c r="C69" s="177">
        <v>44388</v>
      </c>
      <c r="D69" s="172" t="s">
        <v>449</v>
      </c>
      <c r="E69" s="175" t="s">
        <v>443</v>
      </c>
      <c r="F69" s="175">
        <v>240</v>
      </c>
      <c r="G69" s="175">
        <v>9</v>
      </c>
      <c r="H69" s="1">
        <v>10</v>
      </c>
      <c r="I69" s="173">
        <v>0.9</v>
      </c>
    </row>
    <row r="70" spans="1:10" x14ac:dyDescent="0.35">
      <c r="A70" s="95">
        <v>2021</v>
      </c>
      <c r="B70" s="1" t="s">
        <v>48</v>
      </c>
      <c r="C70" s="177">
        <v>44388</v>
      </c>
      <c r="D70" s="172" t="s">
        <v>446</v>
      </c>
      <c r="E70" s="175" t="s">
        <v>443</v>
      </c>
      <c r="F70" s="175">
        <v>240</v>
      </c>
      <c r="G70" s="175">
        <v>4</v>
      </c>
      <c r="H70" s="1">
        <v>10</v>
      </c>
      <c r="I70" s="173">
        <v>0.4</v>
      </c>
    </row>
    <row r="71" spans="1:10" x14ac:dyDescent="0.35">
      <c r="A71" s="95">
        <v>2021</v>
      </c>
      <c r="B71" s="1" t="s">
        <v>48</v>
      </c>
      <c r="C71" s="177">
        <v>44388</v>
      </c>
      <c r="D71" s="172" t="s">
        <v>446</v>
      </c>
      <c r="E71" s="175" t="s">
        <v>443</v>
      </c>
      <c r="F71" s="175">
        <v>240</v>
      </c>
      <c r="G71" s="175">
        <v>9</v>
      </c>
      <c r="H71" s="1">
        <v>10</v>
      </c>
      <c r="I71" s="173">
        <v>0.9</v>
      </c>
    </row>
    <row r="72" spans="1:10" x14ac:dyDescent="0.35">
      <c r="A72" s="95">
        <v>2021</v>
      </c>
      <c r="B72" s="1" t="s">
        <v>48</v>
      </c>
      <c r="C72" s="177">
        <v>44388</v>
      </c>
      <c r="D72" s="172" t="s">
        <v>438</v>
      </c>
      <c r="E72" s="175" t="s">
        <v>443</v>
      </c>
      <c r="F72" s="175">
        <v>240</v>
      </c>
      <c r="G72" s="175">
        <v>9</v>
      </c>
      <c r="H72" s="1">
        <v>10</v>
      </c>
      <c r="I72" s="173">
        <v>0.9</v>
      </c>
    </row>
    <row r="73" spans="1:10" x14ac:dyDescent="0.35">
      <c r="A73" s="95">
        <v>2021</v>
      </c>
      <c r="B73" s="1" t="s">
        <v>48</v>
      </c>
      <c r="C73" s="177">
        <v>44388</v>
      </c>
      <c r="D73" s="172" t="s">
        <v>438</v>
      </c>
      <c r="E73" s="175" t="s">
        <v>443</v>
      </c>
      <c r="F73" s="175">
        <v>240</v>
      </c>
      <c r="G73" s="175">
        <v>6</v>
      </c>
      <c r="H73" s="1">
        <v>10</v>
      </c>
      <c r="I73" s="173">
        <v>0.6</v>
      </c>
    </row>
    <row r="74" spans="1:10" x14ac:dyDescent="0.35">
      <c r="A74" s="95">
        <v>2021</v>
      </c>
      <c r="B74" s="1" t="s">
        <v>48</v>
      </c>
      <c r="C74" s="177">
        <v>44388</v>
      </c>
      <c r="D74" s="172" t="s">
        <v>441</v>
      </c>
      <c r="E74" s="175" t="s">
        <v>447</v>
      </c>
      <c r="F74" s="175">
        <v>220</v>
      </c>
      <c r="G74" s="175">
        <v>4</v>
      </c>
      <c r="H74" s="1">
        <v>10</v>
      </c>
      <c r="I74" s="173">
        <v>0.4</v>
      </c>
    </row>
    <row r="75" spans="1:10" x14ac:dyDescent="0.35">
      <c r="A75" s="95">
        <v>2021</v>
      </c>
      <c r="B75" s="1" t="s">
        <v>48</v>
      </c>
      <c r="C75" s="177">
        <v>44388</v>
      </c>
      <c r="D75" s="172" t="s">
        <v>440</v>
      </c>
      <c r="E75" s="175" t="s">
        <v>439</v>
      </c>
      <c r="F75" s="175">
        <v>240</v>
      </c>
      <c r="G75" s="175">
        <v>5</v>
      </c>
      <c r="H75" s="1">
        <v>10</v>
      </c>
      <c r="I75" s="173">
        <v>0.5</v>
      </c>
    </row>
    <row r="76" spans="1:10" x14ac:dyDescent="0.35">
      <c r="A76" s="95">
        <v>2021</v>
      </c>
      <c r="B76" s="1" t="s">
        <v>48</v>
      </c>
      <c r="C76" s="177">
        <v>44438</v>
      </c>
      <c r="D76" s="172" t="s">
        <v>440</v>
      </c>
      <c r="E76" s="175" t="s">
        <v>439</v>
      </c>
      <c r="F76" s="175">
        <v>240</v>
      </c>
      <c r="G76" s="175">
        <v>4</v>
      </c>
      <c r="H76" s="1">
        <v>10</v>
      </c>
      <c r="I76" s="173">
        <v>0.4</v>
      </c>
    </row>
    <row r="77" spans="1:10" x14ac:dyDescent="0.35">
      <c r="A77" s="95">
        <v>2021</v>
      </c>
      <c r="B77" s="1" t="s">
        <v>48</v>
      </c>
      <c r="C77" s="177">
        <v>44438</v>
      </c>
      <c r="D77" s="172" t="s">
        <v>441</v>
      </c>
      <c r="E77" s="175" t="s">
        <v>447</v>
      </c>
      <c r="F77" s="175">
        <v>240</v>
      </c>
      <c r="G77" s="175">
        <v>2</v>
      </c>
      <c r="H77" s="1">
        <v>10</v>
      </c>
      <c r="I77" s="173">
        <v>0.2</v>
      </c>
      <c r="J77" s="171"/>
    </row>
    <row r="78" spans="1:10" x14ac:dyDescent="0.35">
      <c r="A78" s="95">
        <v>2021</v>
      </c>
      <c r="B78" s="1" t="s">
        <v>48</v>
      </c>
      <c r="C78" s="177">
        <v>44438</v>
      </c>
      <c r="D78" s="172" t="s">
        <v>441</v>
      </c>
      <c r="E78" s="175" t="s">
        <v>439</v>
      </c>
      <c r="F78" s="175">
        <v>240</v>
      </c>
      <c r="G78" s="175">
        <v>4</v>
      </c>
      <c r="H78" s="1">
        <v>10</v>
      </c>
      <c r="I78" s="173">
        <v>0.4</v>
      </c>
      <c r="J78" s="171"/>
    </row>
    <row r="79" spans="1:10" x14ac:dyDescent="0.35">
      <c r="A79" s="95">
        <v>2021</v>
      </c>
      <c r="B79" s="1" t="s">
        <v>48</v>
      </c>
      <c r="C79" s="177">
        <v>44438</v>
      </c>
      <c r="D79" s="172" t="s">
        <v>445</v>
      </c>
      <c r="E79" s="175" t="s">
        <v>443</v>
      </c>
      <c r="F79" s="175">
        <v>220</v>
      </c>
      <c r="G79" s="175">
        <v>7</v>
      </c>
      <c r="H79" s="1">
        <v>10</v>
      </c>
      <c r="I79" s="173">
        <v>0.7</v>
      </c>
      <c r="J79" s="174"/>
    </row>
    <row r="80" spans="1:10" x14ac:dyDescent="0.35">
      <c r="A80" s="95">
        <v>2021</v>
      </c>
      <c r="B80" s="1" t="s">
        <v>48</v>
      </c>
      <c r="C80" s="177">
        <v>44438</v>
      </c>
      <c r="D80" s="172" t="s">
        <v>438</v>
      </c>
      <c r="E80" s="175" t="s">
        <v>443</v>
      </c>
      <c r="F80" s="175">
        <v>220</v>
      </c>
      <c r="G80" s="175">
        <v>3</v>
      </c>
      <c r="H80" s="1">
        <v>10</v>
      </c>
      <c r="I80" s="173">
        <v>0.3</v>
      </c>
      <c r="J80" s="171"/>
    </row>
    <row r="81" spans="1:10" x14ac:dyDescent="0.35">
      <c r="A81" s="95">
        <v>2021</v>
      </c>
      <c r="B81" s="1" t="s">
        <v>48</v>
      </c>
      <c r="C81" s="177">
        <v>44438</v>
      </c>
      <c r="D81" s="172" t="s">
        <v>445</v>
      </c>
      <c r="E81" s="175" t="s">
        <v>443</v>
      </c>
      <c r="F81" s="175">
        <v>240</v>
      </c>
      <c r="G81" s="175">
        <v>8</v>
      </c>
      <c r="H81" s="1">
        <v>10</v>
      </c>
      <c r="I81" s="173">
        <v>0.8</v>
      </c>
      <c r="J81" s="171"/>
    </row>
    <row r="82" spans="1:10" x14ac:dyDescent="0.35">
      <c r="A82" s="95">
        <v>2021</v>
      </c>
      <c r="B82" s="1" t="s">
        <v>48</v>
      </c>
      <c r="C82" s="177">
        <v>44438</v>
      </c>
      <c r="D82" s="172" t="s">
        <v>449</v>
      </c>
      <c r="E82" s="175" t="s">
        <v>443</v>
      </c>
      <c r="F82" s="175">
        <v>240</v>
      </c>
      <c r="G82" s="175">
        <v>10</v>
      </c>
      <c r="H82" s="1">
        <v>10</v>
      </c>
      <c r="I82" s="173">
        <v>1</v>
      </c>
      <c r="J82" s="171"/>
    </row>
    <row r="83" spans="1:10" x14ac:dyDescent="0.35">
      <c r="A83" s="95">
        <v>2021</v>
      </c>
      <c r="B83" s="1" t="s">
        <v>48</v>
      </c>
      <c r="C83" s="177">
        <v>44438</v>
      </c>
      <c r="D83" s="172" t="s">
        <v>438</v>
      </c>
      <c r="E83" s="175" t="s">
        <v>443</v>
      </c>
      <c r="F83" s="175">
        <v>240</v>
      </c>
      <c r="G83" s="175">
        <v>4</v>
      </c>
      <c r="H83" s="1">
        <v>10</v>
      </c>
      <c r="I83" s="173">
        <v>0.4</v>
      </c>
      <c r="J83" s="174"/>
    </row>
    <row r="84" spans="1:10" x14ac:dyDescent="0.35">
      <c r="A84" s="95">
        <v>2021</v>
      </c>
      <c r="B84" s="1" t="s">
        <v>48</v>
      </c>
      <c r="C84" s="177">
        <v>44438</v>
      </c>
      <c r="D84" s="172" t="s">
        <v>438</v>
      </c>
      <c r="E84" s="175" t="s">
        <v>443</v>
      </c>
      <c r="F84" s="175">
        <v>240</v>
      </c>
      <c r="G84" s="175">
        <v>4</v>
      </c>
      <c r="H84" s="1">
        <v>10</v>
      </c>
      <c r="I84" s="173">
        <v>0.4</v>
      </c>
      <c r="J84" s="174"/>
    </row>
    <row r="85" spans="1:10" ht="14.65" customHeight="1" x14ac:dyDescent="0.35">
      <c r="A85" s="95">
        <v>2021</v>
      </c>
      <c r="B85" s="1" t="s">
        <v>48</v>
      </c>
      <c r="C85" s="177">
        <v>44438</v>
      </c>
      <c r="D85" s="172" t="s">
        <v>440</v>
      </c>
      <c r="E85" s="175" t="s">
        <v>447</v>
      </c>
      <c r="F85" s="175">
        <v>240</v>
      </c>
      <c r="G85" s="175">
        <v>3</v>
      </c>
      <c r="H85" s="1">
        <v>10</v>
      </c>
      <c r="I85" s="173">
        <v>0.3</v>
      </c>
      <c r="J85" s="174"/>
    </row>
    <row r="86" spans="1:10" x14ac:dyDescent="0.35">
      <c r="A86" s="95">
        <v>2021</v>
      </c>
      <c r="B86" s="1" t="s">
        <v>48</v>
      </c>
      <c r="C86" s="177">
        <v>44438</v>
      </c>
      <c r="D86" s="172" t="s">
        <v>440</v>
      </c>
      <c r="E86" s="175" t="s">
        <v>439</v>
      </c>
      <c r="F86" s="175">
        <v>240</v>
      </c>
      <c r="G86" s="175">
        <v>6</v>
      </c>
      <c r="H86" s="1">
        <v>10</v>
      </c>
      <c r="I86" s="173">
        <v>0.6</v>
      </c>
      <c r="J86" s="174"/>
    </row>
    <row r="87" spans="1:10" x14ac:dyDescent="0.35">
      <c r="A87" s="95">
        <v>2021</v>
      </c>
      <c r="B87" s="1" t="s">
        <v>48</v>
      </c>
      <c r="C87" s="177">
        <v>44438</v>
      </c>
      <c r="D87" s="172" t="s">
        <v>441</v>
      </c>
      <c r="E87" s="175" t="s">
        <v>439</v>
      </c>
      <c r="F87" s="175">
        <v>240</v>
      </c>
      <c r="G87" s="175">
        <v>7</v>
      </c>
      <c r="H87" s="1">
        <v>10</v>
      </c>
      <c r="I87" s="173">
        <v>0.7</v>
      </c>
      <c r="J87" s="171"/>
    </row>
    <row r="88" spans="1:10" x14ac:dyDescent="0.35">
      <c r="A88" s="95">
        <v>2021</v>
      </c>
      <c r="B88" s="1" t="s">
        <v>48</v>
      </c>
      <c r="C88" s="177">
        <v>44494</v>
      </c>
      <c r="D88" s="172" t="s">
        <v>440</v>
      </c>
      <c r="E88" s="175" t="s">
        <v>439</v>
      </c>
      <c r="F88" s="175">
        <v>240</v>
      </c>
      <c r="G88" s="175">
        <v>7</v>
      </c>
      <c r="H88" s="1">
        <v>10</v>
      </c>
      <c r="I88" s="173">
        <v>0.7</v>
      </c>
      <c r="J88" s="171"/>
    </row>
    <row r="89" spans="1:10" x14ac:dyDescent="0.35">
      <c r="A89" s="95">
        <v>2021</v>
      </c>
      <c r="B89" s="1" t="s">
        <v>48</v>
      </c>
      <c r="C89" s="177">
        <v>44494</v>
      </c>
      <c r="D89" s="172" t="s">
        <v>449</v>
      </c>
      <c r="E89" s="175" t="s">
        <v>443</v>
      </c>
      <c r="F89" s="175">
        <v>240</v>
      </c>
      <c r="G89" s="175">
        <v>9</v>
      </c>
      <c r="H89" s="1">
        <v>10</v>
      </c>
      <c r="I89" s="173">
        <v>0.9</v>
      </c>
      <c r="J89" s="171"/>
    </row>
    <row r="90" spans="1:10" x14ac:dyDescent="0.35">
      <c r="A90" s="95">
        <v>2021</v>
      </c>
      <c r="B90" s="1" t="s">
        <v>48</v>
      </c>
      <c r="C90" s="177">
        <v>44494</v>
      </c>
      <c r="D90" s="172" t="s">
        <v>441</v>
      </c>
      <c r="E90" s="175" t="s">
        <v>447</v>
      </c>
      <c r="F90" s="175">
        <v>240</v>
      </c>
      <c r="G90" s="175">
        <v>4</v>
      </c>
      <c r="H90" s="1">
        <v>10</v>
      </c>
      <c r="I90" s="173">
        <v>0.4</v>
      </c>
      <c r="J90" s="171"/>
    </row>
    <row r="91" spans="1:10" x14ac:dyDescent="0.35">
      <c r="A91" s="95">
        <v>2021</v>
      </c>
      <c r="B91" s="1" t="s">
        <v>48</v>
      </c>
      <c r="C91" s="177">
        <v>44494</v>
      </c>
      <c r="D91" s="172" t="s">
        <v>440</v>
      </c>
      <c r="E91" s="175" t="s">
        <v>439</v>
      </c>
      <c r="F91" s="175">
        <v>240</v>
      </c>
      <c r="G91" s="175">
        <v>6</v>
      </c>
      <c r="H91" s="1">
        <v>10</v>
      </c>
      <c r="I91" s="173">
        <v>0.6</v>
      </c>
      <c r="J91" s="171"/>
    </row>
    <row r="92" spans="1:10" x14ac:dyDescent="0.35">
      <c r="A92" s="95">
        <v>2021</v>
      </c>
      <c r="B92" s="1" t="s">
        <v>48</v>
      </c>
      <c r="C92" s="177">
        <v>44494</v>
      </c>
      <c r="D92" s="172" t="s">
        <v>445</v>
      </c>
      <c r="E92" s="175" t="s">
        <v>443</v>
      </c>
      <c r="F92" s="175">
        <v>240</v>
      </c>
      <c r="G92" s="175">
        <v>9</v>
      </c>
      <c r="H92" s="1">
        <v>10</v>
      </c>
      <c r="I92" s="173">
        <v>0.9</v>
      </c>
      <c r="J92" s="171"/>
    </row>
    <row r="93" spans="1:10" x14ac:dyDescent="0.35">
      <c r="A93" s="95">
        <v>2021</v>
      </c>
      <c r="B93" s="1" t="s">
        <v>48</v>
      </c>
      <c r="C93" s="177">
        <v>44494</v>
      </c>
      <c r="D93" s="172" t="s">
        <v>438</v>
      </c>
      <c r="E93" s="175" t="s">
        <v>443</v>
      </c>
      <c r="F93" s="175">
        <v>240</v>
      </c>
      <c r="G93" s="175">
        <v>2</v>
      </c>
      <c r="H93" s="1">
        <v>10</v>
      </c>
      <c r="I93" s="173">
        <v>0.2</v>
      </c>
      <c r="J93" s="171"/>
    </row>
    <row r="94" spans="1:10" x14ac:dyDescent="0.35">
      <c r="A94" s="95">
        <v>2021</v>
      </c>
      <c r="B94" s="1" t="s">
        <v>48</v>
      </c>
      <c r="C94" s="177">
        <v>44494</v>
      </c>
      <c r="D94" s="172" t="s">
        <v>448</v>
      </c>
      <c r="E94" s="175" t="s">
        <v>443</v>
      </c>
      <c r="F94" s="175">
        <v>240</v>
      </c>
      <c r="G94" s="175">
        <v>3</v>
      </c>
      <c r="H94" s="1">
        <v>10</v>
      </c>
      <c r="I94" s="173">
        <v>0.3</v>
      </c>
      <c r="J94" s="171"/>
    </row>
    <row r="95" spans="1:10" x14ac:dyDescent="0.35">
      <c r="A95" s="95">
        <v>2021</v>
      </c>
      <c r="B95" s="1" t="s">
        <v>48</v>
      </c>
      <c r="C95" s="177">
        <v>44494</v>
      </c>
      <c r="D95" s="172" t="s">
        <v>449</v>
      </c>
      <c r="E95" s="175" t="s">
        <v>443</v>
      </c>
      <c r="F95" s="175">
        <v>240</v>
      </c>
      <c r="G95" s="175">
        <v>7</v>
      </c>
      <c r="H95" s="1">
        <v>10</v>
      </c>
      <c r="I95" s="173">
        <v>0.7</v>
      </c>
      <c r="J95" s="171"/>
    </row>
    <row r="96" spans="1:10" x14ac:dyDescent="0.35">
      <c r="A96" s="95">
        <v>2021</v>
      </c>
      <c r="B96" s="1" t="s">
        <v>48</v>
      </c>
      <c r="C96" s="177">
        <v>44494</v>
      </c>
      <c r="D96" s="172" t="s">
        <v>441</v>
      </c>
      <c r="E96" s="175" t="s">
        <v>439</v>
      </c>
      <c r="F96" s="175">
        <v>240</v>
      </c>
      <c r="G96" s="175">
        <v>8</v>
      </c>
      <c r="H96" s="1">
        <v>10</v>
      </c>
      <c r="I96" s="173">
        <v>0.8</v>
      </c>
      <c r="J96" s="171"/>
    </row>
    <row r="97" spans="1:12" ht="15" thickBot="1" x14ac:dyDescent="0.4">
      <c r="A97" s="95"/>
      <c r="B97" s="1"/>
      <c r="C97" s="177"/>
      <c r="D97" s="172"/>
      <c r="E97" s="175"/>
      <c r="F97" s="175"/>
      <c r="G97" s="175"/>
      <c r="H97" s="1"/>
      <c r="I97" s="173"/>
      <c r="J97" s="171"/>
    </row>
    <row r="98" spans="1:12" ht="13.9" customHeight="1" x14ac:dyDescent="0.35">
      <c r="A98" s="148" t="s">
        <v>428</v>
      </c>
      <c r="B98" s="149" t="s">
        <v>34</v>
      </c>
      <c r="C98" s="149" t="s">
        <v>429</v>
      </c>
      <c r="D98" s="149" t="s">
        <v>430</v>
      </c>
      <c r="E98" s="149" t="s">
        <v>431</v>
      </c>
      <c r="F98" s="149" t="s">
        <v>432</v>
      </c>
      <c r="G98" s="149" t="s">
        <v>433</v>
      </c>
      <c r="H98" s="150" t="s">
        <v>434</v>
      </c>
      <c r="I98" s="151" t="s">
        <v>435</v>
      </c>
    </row>
    <row r="99" spans="1:12" x14ac:dyDescent="0.35">
      <c r="A99" s="94">
        <v>2022</v>
      </c>
      <c r="B99" s="94" t="s">
        <v>41</v>
      </c>
      <c r="C99" s="155">
        <v>44564</v>
      </c>
      <c r="D99" s="152" t="s">
        <v>440</v>
      </c>
      <c r="E99" s="152" t="s">
        <v>439</v>
      </c>
      <c r="F99" s="152">
        <v>260</v>
      </c>
      <c r="G99" s="152">
        <v>8</v>
      </c>
      <c r="H99" s="94">
        <v>10</v>
      </c>
      <c r="I99" s="156">
        <f t="shared" ref="I99:I114" si="5">G99/H99</f>
        <v>0.8</v>
      </c>
      <c r="J99" s="57" t="s">
        <v>450</v>
      </c>
      <c r="K99" s="57">
        <f>COUNTIF($C$99:$C$206, "3 Jan 22")</f>
        <v>26</v>
      </c>
    </row>
    <row r="100" spans="1:12" x14ac:dyDescent="0.35">
      <c r="A100" s="94">
        <v>2022</v>
      </c>
      <c r="B100" s="94" t="s">
        <v>41</v>
      </c>
      <c r="C100" s="155">
        <v>44564</v>
      </c>
      <c r="D100" s="152" t="s">
        <v>448</v>
      </c>
      <c r="E100" s="152" t="s">
        <v>443</v>
      </c>
      <c r="F100" s="152">
        <v>260</v>
      </c>
      <c r="G100" s="152">
        <v>8</v>
      </c>
      <c r="H100" s="94">
        <v>10</v>
      </c>
      <c r="I100" s="156">
        <f t="shared" si="5"/>
        <v>0.8</v>
      </c>
      <c r="J100" s="57" t="s">
        <v>451</v>
      </c>
      <c r="K100" s="57">
        <f>COUNTIF($C$99:$C$206, "2 May 22")</f>
        <v>19</v>
      </c>
    </row>
    <row r="101" spans="1:12" x14ac:dyDescent="0.35">
      <c r="A101" s="94">
        <v>2022</v>
      </c>
      <c r="B101" s="94" t="s">
        <v>41</v>
      </c>
      <c r="C101" s="155">
        <v>44564</v>
      </c>
      <c r="D101" s="152" t="s">
        <v>438</v>
      </c>
      <c r="E101" s="152" t="s">
        <v>443</v>
      </c>
      <c r="F101" s="152">
        <v>260</v>
      </c>
      <c r="G101" s="152">
        <v>8</v>
      </c>
      <c r="H101" s="94">
        <v>10</v>
      </c>
      <c r="I101" s="156">
        <f t="shared" si="5"/>
        <v>0.8</v>
      </c>
      <c r="J101" s="57" t="s">
        <v>452</v>
      </c>
      <c r="K101" s="57">
        <f>COUNTIF($C$99:$C$206, "4/7/2022")</f>
        <v>19</v>
      </c>
    </row>
    <row r="102" spans="1:12" x14ac:dyDescent="0.35">
      <c r="A102" s="94">
        <v>2022</v>
      </c>
      <c r="B102" s="94" t="s">
        <v>41</v>
      </c>
      <c r="C102" s="155">
        <v>44683</v>
      </c>
      <c r="D102" s="152" t="s">
        <v>448</v>
      </c>
      <c r="E102" s="152" t="s">
        <v>443</v>
      </c>
      <c r="F102" s="152">
        <v>260</v>
      </c>
      <c r="G102" s="152">
        <v>6</v>
      </c>
      <c r="H102" s="94">
        <v>10</v>
      </c>
      <c r="I102" s="156">
        <f t="shared" si="5"/>
        <v>0.6</v>
      </c>
      <c r="J102" s="57" t="s">
        <v>453</v>
      </c>
      <c r="K102" s="57">
        <f>COUNTIF($C$99:$C$206, "29 Aug 22")</f>
        <v>23</v>
      </c>
    </row>
    <row r="103" spans="1:12" x14ac:dyDescent="0.35">
      <c r="A103" s="94">
        <v>2022</v>
      </c>
      <c r="B103" s="94" t="s">
        <v>41</v>
      </c>
      <c r="C103" s="155">
        <v>44683</v>
      </c>
      <c r="D103" s="152" t="s">
        <v>446</v>
      </c>
      <c r="E103" s="152" t="s">
        <v>443</v>
      </c>
      <c r="F103" s="152">
        <v>220</v>
      </c>
      <c r="G103" s="152">
        <v>5</v>
      </c>
      <c r="H103" s="94">
        <v>10</v>
      </c>
      <c r="I103" s="156">
        <f t="shared" si="5"/>
        <v>0.5</v>
      </c>
      <c r="J103" s="57" t="s">
        <v>454</v>
      </c>
      <c r="K103" s="57">
        <f>COUNTIF($C$99:$C$206, "24/10/2022")</f>
        <v>21</v>
      </c>
    </row>
    <row r="104" spans="1:12" x14ac:dyDescent="0.35">
      <c r="A104" s="94">
        <v>2022</v>
      </c>
      <c r="B104" s="94" t="s">
        <v>41</v>
      </c>
      <c r="C104" s="155">
        <v>44683</v>
      </c>
      <c r="D104" s="152" t="s">
        <v>438</v>
      </c>
      <c r="E104" s="152" t="s">
        <v>443</v>
      </c>
      <c r="F104" s="152">
        <v>260</v>
      </c>
      <c r="G104" s="152">
        <v>5</v>
      </c>
      <c r="H104" s="94">
        <v>10</v>
      </c>
      <c r="I104" s="156">
        <f t="shared" si="5"/>
        <v>0.5</v>
      </c>
      <c r="J104" s="62"/>
      <c r="K104" s="62"/>
    </row>
    <row r="105" spans="1:12" x14ac:dyDescent="0.35">
      <c r="A105" s="94">
        <v>2022</v>
      </c>
      <c r="B105" s="94" t="s">
        <v>41</v>
      </c>
      <c r="C105" s="155">
        <v>44746</v>
      </c>
      <c r="D105" s="152" t="s">
        <v>438</v>
      </c>
      <c r="E105" s="152" t="s">
        <v>443</v>
      </c>
      <c r="F105" s="152">
        <v>260</v>
      </c>
      <c r="G105" s="152">
        <v>5</v>
      </c>
      <c r="H105" s="94">
        <v>10</v>
      </c>
      <c r="I105" s="156">
        <f t="shared" si="5"/>
        <v>0.5</v>
      </c>
      <c r="K105">
        <f>COUNT(C99:C206)</f>
        <v>108</v>
      </c>
    </row>
    <row r="106" spans="1:12" x14ac:dyDescent="0.35">
      <c r="A106" s="94">
        <v>2022</v>
      </c>
      <c r="B106" s="94" t="s">
        <v>41</v>
      </c>
      <c r="C106" s="155">
        <v>44802</v>
      </c>
      <c r="D106" s="152" t="s">
        <v>448</v>
      </c>
      <c r="E106" s="152" t="s">
        <v>443</v>
      </c>
      <c r="F106" s="152">
        <v>260</v>
      </c>
      <c r="G106" s="152">
        <v>10</v>
      </c>
      <c r="H106" s="94">
        <v>10</v>
      </c>
      <c r="I106" s="156">
        <f t="shared" si="5"/>
        <v>1</v>
      </c>
    </row>
    <row r="107" spans="1:12" x14ac:dyDescent="0.35">
      <c r="A107" s="94">
        <v>2022</v>
      </c>
      <c r="B107" s="94" t="s">
        <v>41</v>
      </c>
      <c r="C107" s="155">
        <v>44802</v>
      </c>
      <c r="D107" s="152" t="s">
        <v>448</v>
      </c>
      <c r="E107" s="152" t="s">
        <v>443</v>
      </c>
      <c r="F107" s="152">
        <v>260</v>
      </c>
      <c r="G107" s="152">
        <v>8</v>
      </c>
      <c r="H107" s="94">
        <v>10</v>
      </c>
      <c r="I107" s="156">
        <f t="shared" si="5"/>
        <v>0.8</v>
      </c>
      <c r="J107" s="50" t="s">
        <v>455</v>
      </c>
    </row>
    <row r="108" spans="1:12" x14ac:dyDescent="0.35">
      <c r="A108" s="94">
        <v>2022</v>
      </c>
      <c r="B108" s="94" t="s">
        <v>41</v>
      </c>
      <c r="C108" s="155">
        <v>44802</v>
      </c>
      <c r="D108" s="152" t="s">
        <v>449</v>
      </c>
      <c r="E108" s="152" t="s">
        <v>443</v>
      </c>
      <c r="F108" s="152">
        <v>260</v>
      </c>
      <c r="G108" s="152">
        <v>9</v>
      </c>
      <c r="H108" s="94">
        <v>10</v>
      </c>
      <c r="I108" s="156">
        <f t="shared" si="5"/>
        <v>0.9</v>
      </c>
    </row>
    <row r="109" spans="1:12" x14ac:dyDescent="0.35">
      <c r="A109" s="94">
        <v>2022</v>
      </c>
      <c r="B109" s="94" t="s">
        <v>41</v>
      </c>
      <c r="C109" s="155">
        <v>44802</v>
      </c>
      <c r="D109" s="152" t="s">
        <v>446</v>
      </c>
      <c r="E109" s="152" t="s">
        <v>443</v>
      </c>
      <c r="F109" s="152">
        <v>260</v>
      </c>
      <c r="G109" s="152">
        <v>10</v>
      </c>
      <c r="H109" s="94">
        <v>10</v>
      </c>
      <c r="I109" s="156">
        <f t="shared" si="5"/>
        <v>1</v>
      </c>
      <c r="J109" s="57" t="s">
        <v>456</v>
      </c>
      <c r="K109" s="57" t="s">
        <v>443</v>
      </c>
      <c r="L109" s="201" t="s">
        <v>41</v>
      </c>
    </row>
    <row r="110" spans="1:12" x14ac:dyDescent="0.35">
      <c r="A110" s="94">
        <v>2022</v>
      </c>
      <c r="B110" s="94" t="s">
        <v>41</v>
      </c>
      <c r="C110" s="155">
        <v>44858</v>
      </c>
      <c r="D110" s="152" t="s">
        <v>448</v>
      </c>
      <c r="E110" s="152" t="s">
        <v>443</v>
      </c>
      <c r="F110" s="152">
        <v>260</v>
      </c>
      <c r="G110" s="152">
        <v>10</v>
      </c>
      <c r="H110" s="94">
        <v>10</v>
      </c>
      <c r="I110" s="156">
        <f t="shared" si="5"/>
        <v>1</v>
      </c>
      <c r="J110" s="57" t="s">
        <v>456</v>
      </c>
      <c r="K110" s="202" t="s">
        <v>443</v>
      </c>
      <c r="L110" s="201" t="s">
        <v>52</v>
      </c>
    </row>
    <row r="111" spans="1:12" x14ac:dyDescent="0.35">
      <c r="A111" s="94">
        <v>2022</v>
      </c>
      <c r="B111" s="94" t="s">
        <v>41</v>
      </c>
      <c r="C111" s="155">
        <v>44858</v>
      </c>
      <c r="D111" s="152" t="s">
        <v>448</v>
      </c>
      <c r="E111" s="152" t="s">
        <v>443</v>
      </c>
      <c r="F111" s="152">
        <v>260</v>
      </c>
      <c r="G111" s="152">
        <v>5</v>
      </c>
      <c r="H111" s="94">
        <v>10</v>
      </c>
      <c r="I111" s="156">
        <f t="shared" si="5"/>
        <v>0.5</v>
      </c>
      <c r="J111" s="57" t="s">
        <v>456</v>
      </c>
      <c r="K111" s="202" t="s">
        <v>443</v>
      </c>
      <c r="L111" s="201" t="s">
        <v>54</v>
      </c>
    </row>
    <row r="112" spans="1:12" x14ac:dyDescent="0.35">
      <c r="A112" s="94">
        <v>2022</v>
      </c>
      <c r="B112" s="94" t="s">
        <v>41</v>
      </c>
      <c r="C112" s="155">
        <v>44858</v>
      </c>
      <c r="D112" s="152" t="s">
        <v>449</v>
      </c>
      <c r="E112" s="152" t="s">
        <v>443</v>
      </c>
      <c r="F112" s="152">
        <v>260</v>
      </c>
      <c r="G112" s="152">
        <v>7</v>
      </c>
      <c r="H112" s="94">
        <v>10</v>
      </c>
      <c r="I112" s="156">
        <f t="shared" si="5"/>
        <v>0.7</v>
      </c>
      <c r="J112" s="202" t="s">
        <v>445</v>
      </c>
      <c r="K112" s="202" t="s">
        <v>443</v>
      </c>
      <c r="L112" s="201" t="s">
        <v>43</v>
      </c>
    </row>
    <row r="113" spans="1:12" x14ac:dyDescent="0.35">
      <c r="A113" s="94">
        <v>2022</v>
      </c>
      <c r="B113" s="94" t="s">
        <v>41</v>
      </c>
      <c r="C113" s="155">
        <v>44858</v>
      </c>
      <c r="D113" s="152" t="s">
        <v>438</v>
      </c>
      <c r="E113" s="152" t="s">
        <v>443</v>
      </c>
      <c r="F113" s="152">
        <v>260</v>
      </c>
      <c r="G113" s="152">
        <v>4</v>
      </c>
      <c r="H113" s="94">
        <v>10</v>
      </c>
      <c r="I113" s="156">
        <f t="shared" si="5"/>
        <v>0.4</v>
      </c>
      <c r="J113" s="202" t="s">
        <v>445</v>
      </c>
      <c r="K113" s="202" t="s">
        <v>443</v>
      </c>
      <c r="L113" s="201" t="s">
        <v>46</v>
      </c>
    </row>
    <row r="114" spans="1:12" x14ac:dyDescent="0.35">
      <c r="A114" s="94">
        <v>2022</v>
      </c>
      <c r="B114" s="94" t="s">
        <v>41</v>
      </c>
      <c r="C114" s="155">
        <v>44802</v>
      </c>
      <c r="D114" s="152" t="s">
        <v>441</v>
      </c>
      <c r="E114" s="152" t="s">
        <v>447</v>
      </c>
      <c r="F114" s="152">
        <v>260</v>
      </c>
      <c r="G114" s="152">
        <v>5</v>
      </c>
      <c r="H114" s="94">
        <v>10</v>
      </c>
      <c r="I114" s="156">
        <f t="shared" si="5"/>
        <v>0.5</v>
      </c>
      <c r="J114" s="202" t="s">
        <v>445</v>
      </c>
      <c r="K114" s="202" t="s">
        <v>443</v>
      </c>
      <c r="L114" s="201" t="s">
        <v>52</v>
      </c>
    </row>
    <row r="115" spans="1:12" x14ac:dyDescent="0.35">
      <c r="A115" s="94">
        <v>2022</v>
      </c>
      <c r="B115" s="94" t="s">
        <v>43</v>
      </c>
      <c r="C115" s="155">
        <v>44564</v>
      </c>
      <c r="D115" s="152" t="s">
        <v>445</v>
      </c>
      <c r="E115" s="152" t="s">
        <v>443</v>
      </c>
      <c r="F115" s="152">
        <v>260</v>
      </c>
      <c r="G115" s="152">
        <v>5</v>
      </c>
      <c r="H115" s="94">
        <v>10</v>
      </c>
      <c r="I115" s="156">
        <f>G115/H115</f>
        <v>0.5</v>
      </c>
      <c r="J115" s="203" t="s">
        <v>445</v>
      </c>
      <c r="K115" s="203" t="s">
        <v>443</v>
      </c>
      <c r="L115" s="204" t="s">
        <v>48</v>
      </c>
    </row>
    <row r="116" spans="1:12" x14ac:dyDescent="0.35">
      <c r="A116" s="94">
        <v>2022</v>
      </c>
      <c r="B116" s="94" t="s">
        <v>43</v>
      </c>
      <c r="C116" s="155">
        <v>44564</v>
      </c>
      <c r="D116" s="152" t="s">
        <v>440</v>
      </c>
      <c r="E116" s="152" t="s">
        <v>439</v>
      </c>
      <c r="F116" s="152">
        <v>260</v>
      </c>
      <c r="G116" s="152">
        <v>2</v>
      </c>
      <c r="H116" s="94">
        <v>10</v>
      </c>
      <c r="I116" s="156">
        <f>G116/H116</f>
        <v>0.2</v>
      </c>
      <c r="J116" s="202" t="s">
        <v>449</v>
      </c>
      <c r="K116" s="202" t="s">
        <v>443</v>
      </c>
      <c r="L116" s="201" t="s">
        <v>52</v>
      </c>
    </row>
    <row r="117" spans="1:12" x14ac:dyDescent="0.35">
      <c r="A117" s="94">
        <v>2022</v>
      </c>
      <c r="B117" s="94" t="s">
        <v>43</v>
      </c>
      <c r="C117" s="155">
        <v>44746</v>
      </c>
      <c r="D117" s="152" t="s">
        <v>441</v>
      </c>
      <c r="E117" s="152" t="s">
        <v>439</v>
      </c>
      <c r="F117" s="152">
        <v>260</v>
      </c>
      <c r="G117" s="152">
        <v>3</v>
      </c>
      <c r="H117" s="94">
        <v>10</v>
      </c>
      <c r="I117" s="156">
        <f>G117/H117</f>
        <v>0.3</v>
      </c>
      <c r="J117" s="202" t="s">
        <v>449</v>
      </c>
      <c r="K117" s="202" t="s">
        <v>443</v>
      </c>
      <c r="L117" s="201" t="s">
        <v>54</v>
      </c>
    </row>
    <row r="118" spans="1:12" x14ac:dyDescent="0.35">
      <c r="A118" s="186">
        <v>2022</v>
      </c>
      <c r="B118" s="186" t="s">
        <v>46</v>
      </c>
      <c r="C118" s="187">
        <v>44564</v>
      </c>
      <c r="D118" s="188" t="s">
        <v>445</v>
      </c>
      <c r="E118" s="188" t="s">
        <v>443</v>
      </c>
      <c r="F118" s="188">
        <v>260</v>
      </c>
      <c r="G118" s="188">
        <v>5</v>
      </c>
      <c r="H118" s="186">
        <v>10</v>
      </c>
      <c r="I118" s="189">
        <f>G118/H118</f>
        <v>0.5</v>
      </c>
      <c r="J118" s="203" t="s">
        <v>449</v>
      </c>
      <c r="K118" s="203" t="s">
        <v>443</v>
      </c>
      <c r="L118" s="204" t="s">
        <v>48</v>
      </c>
    </row>
    <row r="119" spans="1:12" x14ac:dyDescent="0.35">
      <c r="A119" s="94">
        <v>2022</v>
      </c>
      <c r="B119" s="94" t="s">
        <v>50</v>
      </c>
      <c r="C119" s="155">
        <v>44564</v>
      </c>
      <c r="D119" s="152" t="s">
        <v>440</v>
      </c>
      <c r="E119" s="152" t="s">
        <v>447</v>
      </c>
      <c r="F119" s="152">
        <v>260</v>
      </c>
      <c r="G119" s="152">
        <v>2</v>
      </c>
      <c r="H119" s="94">
        <v>10</v>
      </c>
      <c r="I119" s="156">
        <f t="shared" ref="I119:I132" si="6">G119/H119</f>
        <v>0.2</v>
      </c>
      <c r="J119" s="203" t="s">
        <v>446</v>
      </c>
      <c r="K119" s="203" t="s">
        <v>443</v>
      </c>
      <c r="L119" s="204" t="s">
        <v>48</v>
      </c>
    </row>
    <row r="120" spans="1:12" x14ac:dyDescent="0.35">
      <c r="A120" s="94">
        <v>2022</v>
      </c>
      <c r="B120" s="94" t="s">
        <v>50</v>
      </c>
      <c r="C120" s="155">
        <v>44564</v>
      </c>
      <c r="D120" s="152" t="s">
        <v>440</v>
      </c>
      <c r="E120" s="152" t="s">
        <v>447</v>
      </c>
      <c r="F120" s="152">
        <v>260</v>
      </c>
      <c r="G120" s="152">
        <v>7</v>
      </c>
      <c r="H120" s="94">
        <v>10</v>
      </c>
      <c r="I120" s="156">
        <f t="shared" si="6"/>
        <v>0.7</v>
      </c>
      <c r="J120" s="203" t="s">
        <v>446</v>
      </c>
      <c r="K120" s="203" t="s">
        <v>443</v>
      </c>
      <c r="L120" s="204" t="s">
        <v>48</v>
      </c>
    </row>
    <row r="121" spans="1:12" x14ac:dyDescent="0.35">
      <c r="A121" s="94">
        <v>2022</v>
      </c>
      <c r="B121" s="94" t="s">
        <v>50</v>
      </c>
      <c r="C121" s="155">
        <v>44564</v>
      </c>
      <c r="D121" s="152" t="s">
        <v>441</v>
      </c>
      <c r="E121" s="152" t="s">
        <v>439</v>
      </c>
      <c r="F121" s="152">
        <v>260</v>
      </c>
      <c r="G121" s="152">
        <v>3</v>
      </c>
      <c r="H121" s="94">
        <v>10</v>
      </c>
      <c r="I121" s="156">
        <f t="shared" si="6"/>
        <v>0.3</v>
      </c>
      <c r="J121" s="202" t="s">
        <v>438</v>
      </c>
      <c r="K121" s="202" t="s">
        <v>443</v>
      </c>
      <c r="L121" s="201" t="s">
        <v>41</v>
      </c>
    </row>
    <row r="122" spans="1:12" x14ac:dyDescent="0.35">
      <c r="A122" s="94">
        <v>2022</v>
      </c>
      <c r="B122" s="94" t="s">
        <v>50</v>
      </c>
      <c r="C122" s="155">
        <v>44683</v>
      </c>
      <c r="D122" s="152" t="s">
        <v>445</v>
      </c>
      <c r="E122" s="152" t="s">
        <v>443</v>
      </c>
      <c r="F122" s="152">
        <v>260</v>
      </c>
      <c r="G122" s="152">
        <v>4</v>
      </c>
      <c r="H122" s="94">
        <v>10</v>
      </c>
      <c r="I122" s="156">
        <f t="shared" si="6"/>
        <v>0.4</v>
      </c>
      <c r="J122" s="203" t="s">
        <v>438</v>
      </c>
      <c r="K122" s="203" t="s">
        <v>443</v>
      </c>
      <c r="L122" s="204" t="s">
        <v>48</v>
      </c>
    </row>
    <row r="123" spans="1:12" x14ac:dyDescent="0.35">
      <c r="A123" s="94">
        <v>2022</v>
      </c>
      <c r="B123" s="94" t="s">
        <v>50</v>
      </c>
      <c r="C123" s="155">
        <v>44683</v>
      </c>
      <c r="D123" s="152" t="s">
        <v>440</v>
      </c>
      <c r="E123" s="152" t="s">
        <v>447</v>
      </c>
      <c r="F123" s="152">
        <v>220</v>
      </c>
      <c r="G123" s="152">
        <v>3</v>
      </c>
      <c r="H123" s="94">
        <v>10</v>
      </c>
      <c r="I123" s="156">
        <f t="shared" si="6"/>
        <v>0.3</v>
      </c>
      <c r="J123" s="203" t="s">
        <v>438</v>
      </c>
      <c r="K123" s="203" t="s">
        <v>443</v>
      </c>
      <c r="L123" s="204" t="s">
        <v>48</v>
      </c>
    </row>
    <row r="124" spans="1:12" x14ac:dyDescent="0.35">
      <c r="A124" s="94">
        <v>2022</v>
      </c>
      <c r="B124" s="94" t="s">
        <v>50</v>
      </c>
      <c r="C124" s="155">
        <v>44746</v>
      </c>
      <c r="D124" s="152" t="s">
        <v>448</v>
      </c>
      <c r="E124" s="152" t="s">
        <v>443</v>
      </c>
      <c r="F124" s="152">
        <v>220</v>
      </c>
      <c r="G124" s="152">
        <v>4</v>
      </c>
      <c r="H124" s="94">
        <v>10</v>
      </c>
      <c r="I124" s="156">
        <f t="shared" si="6"/>
        <v>0.4</v>
      </c>
      <c r="J124" s="202" t="s">
        <v>440</v>
      </c>
      <c r="K124" s="202" t="s">
        <v>439</v>
      </c>
      <c r="L124" s="201" t="s">
        <v>41</v>
      </c>
    </row>
    <row r="125" spans="1:12" x14ac:dyDescent="0.35">
      <c r="A125" s="94">
        <v>2022</v>
      </c>
      <c r="B125" s="94" t="s">
        <v>50</v>
      </c>
      <c r="C125" s="155">
        <v>44746</v>
      </c>
      <c r="D125" s="152" t="s">
        <v>440</v>
      </c>
      <c r="E125" s="152" t="s">
        <v>447</v>
      </c>
      <c r="F125" s="152">
        <v>260</v>
      </c>
      <c r="G125" s="152">
        <v>4</v>
      </c>
      <c r="H125" s="94">
        <v>10</v>
      </c>
      <c r="I125" s="156">
        <f t="shared" si="6"/>
        <v>0.4</v>
      </c>
      <c r="J125" s="202" t="s">
        <v>440</v>
      </c>
      <c r="K125" s="202" t="s">
        <v>439</v>
      </c>
      <c r="L125" s="201" t="s">
        <v>43</v>
      </c>
    </row>
    <row r="126" spans="1:12" x14ac:dyDescent="0.35">
      <c r="A126" s="94">
        <v>2022</v>
      </c>
      <c r="B126" s="94" t="s">
        <v>50</v>
      </c>
      <c r="C126" s="155">
        <v>44802</v>
      </c>
      <c r="D126" s="152" t="s">
        <v>448</v>
      </c>
      <c r="E126" s="152" t="s">
        <v>443</v>
      </c>
      <c r="F126" s="152">
        <v>260</v>
      </c>
      <c r="G126" s="152">
        <v>8</v>
      </c>
      <c r="H126" s="94">
        <v>10</v>
      </c>
      <c r="I126" s="156">
        <f t="shared" si="6"/>
        <v>0.8</v>
      </c>
      <c r="J126" s="202" t="s">
        <v>440</v>
      </c>
      <c r="K126" s="202" t="s">
        <v>447</v>
      </c>
      <c r="L126" s="201" t="s">
        <v>50</v>
      </c>
    </row>
    <row r="127" spans="1:12" x14ac:dyDescent="0.35">
      <c r="A127" s="94">
        <v>2022</v>
      </c>
      <c r="B127" s="94" t="s">
        <v>50</v>
      </c>
      <c r="C127" s="155">
        <v>44802</v>
      </c>
      <c r="D127" s="152" t="s">
        <v>446</v>
      </c>
      <c r="E127" s="152" t="s">
        <v>443</v>
      </c>
      <c r="F127" s="152">
        <v>260</v>
      </c>
      <c r="G127" s="152">
        <v>5</v>
      </c>
      <c r="H127" s="94">
        <v>10</v>
      </c>
      <c r="I127" s="156">
        <f t="shared" si="6"/>
        <v>0.5</v>
      </c>
      <c r="J127" s="202" t="s">
        <v>440</v>
      </c>
      <c r="K127" s="202" t="s">
        <v>447</v>
      </c>
      <c r="L127" s="201" t="s">
        <v>50</v>
      </c>
    </row>
    <row r="128" spans="1:12" x14ac:dyDescent="0.35">
      <c r="A128" s="94">
        <v>2022</v>
      </c>
      <c r="B128" s="94" t="s">
        <v>50</v>
      </c>
      <c r="C128" s="155">
        <v>44802</v>
      </c>
      <c r="D128" s="152" t="s">
        <v>446</v>
      </c>
      <c r="E128" s="152" t="s">
        <v>443</v>
      </c>
      <c r="F128" s="152">
        <v>220</v>
      </c>
      <c r="G128" s="152">
        <v>6</v>
      </c>
      <c r="H128" s="94">
        <v>10</v>
      </c>
      <c r="I128" s="156">
        <f t="shared" si="6"/>
        <v>0.6</v>
      </c>
      <c r="J128" s="203" t="s">
        <v>440</v>
      </c>
      <c r="K128" s="203" t="s">
        <v>439</v>
      </c>
      <c r="L128" s="204" t="s">
        <v>48</v>
      </c>
    </row>
    <row r="129" spans="1:12" x14ac:dyDescent="0.35">
      <c r="A129" s="94">
        <v>2022</v>
      </c>
      <c r="B129" s="94" t="s">
        <v>50</v>
      </c>
      <c r="C129" s="155">
        <v>44802</v>
      </c>
      <c r="D129" s="152" t="s">
        <v>440</v>
      </c>
      <c r="E129" s="152" t="s">
        <v>447</v>
      </c>
      <c r="F129" s="152">
        <v>260</v>
      </c>
      <c r="G129" s="152">
        <v>4</v>
      </c>
      <c r="H129" s="94">
        <v>10</v>
      </c>
      <c r="I129" s="156">
        <f t="shared" si="6"/>
        <v>0.4</v>
      </c>
      <c r="J129" s="203" t="s">
        <v>440</v>
      </c>
      <c r="K129" s="203" t="s">
        <v>439</v>
      </c>
      <c r="L129" s="204" t="s">
        <v>48</v>
      </c>
    </row>
    <row r="130" spans="1:12" x14ac:dyDescent="0.35">
      <c r="A130" s="94">
        <v>2022</v>
      </c>
      <c r="B130" s="94" t="s">
        <v>50</v>
      </c>
      <c r="C130" s="155">
        <v>44858</v>
      </c>
      <c r="D130" s="152" t="s">
        <v>446</v>
      </c>
      <c r="E130" s="152" t="s">
        <v>443</v>
      </c>
      <c r="F130" s="152">
        <v>260</v>
      </c>
      <c r="G130" s="152">
        <v>10</v>
      </c>
      <c r="H130" s="94">
        <v>10</v>
      </c>
      <c r="I130" s="156">
        <f t="shared" si="6"/>
        <v>1</v>
      </c>
      <c r="J130" s="202" t="s">
        <v>441</v>
      </c>
      <c r="K130" s="202" t="s">
        <v>439</v>
      </c>
      <c r="L130" s="201" t="s">
        <v>50</v>
      </c>
    </row>
    <row r="131" spans="1:12" x14ac:dyDescent="0.35">
      <c r="A131" s="94">
        <v>2022</v>
      </c>
      <c r="B131" s="94" t="s">
        <v>50</v>
      </c>
      <c r="C131" s="155">
        <v>44858</v>
      </c>
      <c r="D131" s="152" t="s">
        <v>440</v>
      </c>
      <c r="E131" s="152" t="s">
        <v>439</v>
      </c>
      <c r="F131" s="152">
        <v>260</v>
      </c>
      <c r="G131" s="152">
        <v>11</v>
      </c>
      <c r="H131" s="94">
        <v>11</v>
      </c>
      <c r="I131" s="156">
        <f t="shared" si="6"/>
        <v>1</v>
      </c>
      <c r="J131" s="202" t="s">
        <v>441</v>
      </c>
      <c r="K131" s="202" t="s">
        <v>447</v>
      </c>
      <c r="L131" s="201" t="s">
        <v>52</v>
      </c>
    </row>
    <row r="132" spans="1:12" x14ac:dyDescent="0.35">
      <c r="A132" s="94">
        <v>2022</v>
      </c>
      <c r="B132" s="94" t="s">
        <v>50</v>
      </c>
      <c r="C132" s="155">
        <v>44858</v>
      </c>
      <c r="D132" s="152" t="s">
        <v>441</v>
      </c>
      <c r="E132" s="152" t="s">
        <v>439</v>
      </c>
      <c r="F132" s="152">
        <v>220</v>
      </c>
      <c r="G132" s="152">
        <v>5</v>
      </c>
      <c r="H132" s="94">
        <v>10</v>
      </c>
      <c r="I132" s="156">
        <f t="shared" si="6"/>
        <v>0.5</v>
      </c>
      <c r="J132" s="202" t="s">
        <v>441</v>
      </c>
      <c r="K132" s="202" t="s">
        <v>439</v>
      </c>
      <c r="L132" s="201" t="s">
        <v>52</v>
      </c>
    </row>
    <row r="133" spans="1:12" x14ac:dyDescent="0.35">
      <c r="A133" s="94">
        <v>2022</v>
      </c>
      <c r="B133" s="94" t="s">
        <v>52</v>
      </c>
      <c r="C133" s="155">
        <v>44564</v>
      </c>
      <c r="D133" s="152" t="s">
        <v>448</v>
      </c>
      <c r="E133" s="152" t="s">
        <v>443</v>
      </c>
      <c r="F133" s="152">
        <v>260</v>
      </c>
      <c r="G133" s="152">
        <v>6</v>
      </c>
      <c r="H133" s="94">
        <v>10</v>
      </c>
      <c r="I133" s="156">
        <f t="shared" ref="I133:I151" si="7">G133/H133</f>
        <v>0.6</v>
      </c>
      <c r="J133" s="202" t="s">
        <v>441</v>
      </c>
      <c r="K133" s="202" t="s">
        <v>439</v>
      </c>
      <c r="L133" s="201" t="s">
        <v>56</v>
      </c>
    </row>
    <row r="134" spans="1:12" x14ac:dyDescent="0.35">
      <c r="A134" s="94">
        <v>2022</v>
      </c>
      <c r="B134" s="94" t="s">
        <v>52</v>
      </c>
      <c r="C134" s="155">
        <v>44564</v>
      </c>
      <c r="D134" s="152" t="s">
        <v>445</v>
      </c>
      <c r="E134" s="152" t="s">
        <v>443</v>
      </c>
      <c r="F134" s="152">
        <v>260</v>
      </c>
      <c r="G134" s="152">
        <v>3</v>
      </c>
      <c r="H134" s="94">
        <v>10</v>
      </c>
      <c r="I134" s="156">
        <f t="shared" si="7"/>
        <v>0.3</v>
      </c>
      <c r="J134" s="203" t="s">
        <v>441</v>
      </c>
      <c r="K134" s="203" t="s">
        <v>439</v>
      </c>
      <c r="L134" s="204" t="s">
        <v>48</v>
      </c>
    </row>
    <row r="135" spans="1:12" x14ac:dyDescent="0.35">
      <c r="A135" s="94">
        <v>2022</v>
      </c>
      <c r="B135" s="94" t="s">
        <v>52</v>
      </c>
      <c r="C135" s="155">
        <v>44564</v>
      </c>
      <c r="D135" s="152" t="s">
        <v>449</v>
      </c>
      <c r="E135" s="152" t="s">
        <v>443</v>
      </c>
      <c r="F135" s="152">
        <v>260</v>
      </c>
      <c r="G135" s="152">
        <v>9</v>
      </c>
      <c r="H135" s="94">
        <v>10</v>
      </c>
      <c r="I135" s="156">
        <f t="shared" si="7"/>
        <v>0.9</v>
      </c>
      <c r="J135" s="206" t="s">
        <v>429</v>
      </c>
      <c r="K135" s="155">
        <v>44802</v>
      </c>
    </row>
    <row r="136" spans="1:12" x14ac:dyDescent="0.35">
      <c r="A136" s="94">
        <v>2022</v>
      </c>
      <c r="B136" s="94" t="s">
        <v>52</v>
      </c>
      <c r="C136" s="155">
        <v>44564</v>
      </c>
      <c r="D136" s="152" t="s">
        <v>441</v>
      </c>
      <c r="E136" s="152" t="s">
        <v>447</v>
      </c>
      <c r="F136" s="152">
        <v>260</v>
      </c>
      <c r="G136" s="152">
        <v>4</v>
      </c>
      <c r="H136" s="94">
        <v>10</v>
      </c>
      <c r="I136" s="156">
        <f t="shared" si="7"/>
        <v>0.4</v>
      </c>
    </row>
    <row r="137" spans="1:12" x14ac:dyDescent="0.35">
      <c r="A137" s="94">
        <v>2022</v>
      </c>
      <c r="B137" s="94" t="s">
        <v>52</v>
      </c>
      <c r="C137" s="155">
        <v>44564</v>
      </c>
      <c r="D137" s="152" t="s">
        <v>441</v>
      </c>
      <c r="E137" s="152" t="s">
        <v>439</v>
      </c>
      <c r="F137" s="152">
        <v>260</v>
      </c>
      <c r="G137" s="152">
        <v>3</v>
      </c>
      <c r="H137" s="94">
        <v>10</v>
      </c>
      <c r="I137" s="156">
        <f t="shared" si="7"/>
        <v>0.3</v>
      </c>
      <c r="J137" s="206" t="s">
        <v>457</v>
      </c>
      <c r="K137" t="s">
        <v>458</v>
      </c>
      <c r="L137" t="s">
        <v>459</v>
      </c>
    </row>
    <row r="138" spans="1:12" x14ac:dyDescent="0.35">
      <c r="A138" s="94">
        <v>2022</v>
      </c>
      <c r="B138" s="94" t="s">
        <v>52</v>
      </c>
      <c r="C138" s="155">
        <v>44683</v>
      </c>
      <c r="D138" s="152" t="s">
        <v>445</v>
      </c>
      <c r="E138" s="152" t="s">
        <v>443</v>
      </c>
      <c r="F138" s="152">
        <v>260</v>
      </c>
      <c r="G138" s="152">
        <v>4</v>
      </c>
      <c r="H138" s="94">
        <v>10</v>
      </c>
      <c r="I138" s="156">
        <f t="shared" si="7"/>
        <v>0.4</v>
      </c>
      <c r="J138" s="94" t="s">
        <v>41</v>
      </c>
      <c r="K138">
        <v>5</v>
      </c>
      <c r="L138" s="160">
        <v>0.84000000000000008</v>
      </c>
    </row>
    <row r="139" spans="1:12" x14ac:dyDescent="0.35">
      <c r="A139" s="94">
        <v>2022</v>
      </c>
      <c r="B139" s="94" t="s">
        <v>52</v>
      </c>
      <c r="C139" s="155">
        <v>44683</v>
      </c>
      <c r="D139" s="152" t="s">
        <v>440</v>
      </c>
      <c r="E139" s="152" t="s">
        <v>447</v>
      </c>
      <c r="F139" s="152">
        <v>260</v>
      </c>
      <c r="G139" s="152">
        <v>4</v>
      </c>
      <c r="H139" s="94">
        <v>10</v>
      </c>
      <c r="I139" s="156">
        <f t="shared" si="7"/>
        <v>0.4</v>
      </c>
      <c r="J139" s="94" t="s">
        <v>48</v>
      </c>
      <c r="K139">
        <v>5</v>
      </c>
      <c r="L139" s="160">
        <v>0.8</v>
      </c>
    </row>
    <row r="140" spans="1:12" x14ac:dyDescent="0.35">
      <c r="A140" s="94">
        <v>2022</v>
      </c>
      <c r="B140" s="94" t="s">
        <v>52</v>
      </c>
      <c r="C140" s="155">
        <v>44683</v>
      </c>
      <c r="D140" s="152" t="s">
        <v>440</v>
      </c>
      <c r="E140" s="152" t="s">
        <v>439</v>
      </c>
      <c r="F140" s="152">
        <v>260</v>
      </c>
      <c r="G140" s="152">
        <v>9</v>
      </c>
      <c r="H140" s="94">
        <v>10</v>
      </c>
      <c r="I140" s="156">
        <f t="shared" si="7"/>
        <v>0.9</v>
      </c>
      <c r="J140" s="94" t="s">
        <v>56</v>
      </c>
      <c r="K140">
        <v>3</v>
      </c>
      <c r="L140" s="160">
        <v>0.73333333333333339</v>
      </c>
    </row>
    <row r="141" spans="1:12" x14ac:dyDescent="0.35">
      <c r="A141" s="94">
        <v>2022</v>
      </c>
      <c r="B141" s="94" t="s">
        <v>52</v>
      </c>
      <c r="C141" s="155">
        <v>44746</v>
      </c>
      <c r="D141" s="152" t="s">
        <v>445</v>
      </c>
      <c r="E141" s="152" t="s">
        <v>443</v>
      </c>
      <c r="F141" s="152">
        <v>260</v>
      </c>
      <c r="G141" s="152">
        <v>5</v>
      </c>
      <c r="H141" s="94">
        <v>10</v>
      </c>
      <c r="I141" s="156">
        <f t="shared" si="7"/>
        <v>0.5</v>
      </c>
      <c r="J141" s="94" t="s">
        <v>54</v>
      </c>
      <c r="K141">
        <v>3</v>
      </c>
      <c r="L141" s="160">
        <v>0.53333333333333333</v>
      </c>
    </row>
    <row r="142" spans="1:12" x14ac:dyDescent="0.35">
      <c r="A142" s="94">
        <v>2022</v>
      </c>
      <c r="B142" s="94" t="s">
        <v>52</v>
      </c>
      <c r="C142" s="155">
        <v>44746</v>
      </c>
      <c r="D142" s="152" t="s">
        <v>445</v>
      </c>
      <c r="E142" s="152" t="s">
        <v>443</v>
      </c>
      <c r="F142" s="152">
        <v>260</v>
      </c>
      <c r="G142" s="152">
        <v>5</v>
      </c>
      <c r="H142" s="94">
        <v>10</v>
      </c>
      <c r="I142" s="156">
        <f t="shared" si="7"/>
        <v>0.5</v>
      </c>
      <c r="J142" s="94" t="s">
        <v>50</v>
      </c>
      <c r="K142">
        <v>4</v>
      </c>
      <c r="L142" s="160">
        <v>0.57499999999999996</v>
      </c>
    </row>
    <row r="143" spans="1:12" x14ac:dyDescent="0.35">
      <c r="A143" s="94">
        <v>2022</v>
      </c>
      <c r="B143" s="94" t="s">
        <v>52</v>
      </c>
      <c r="C143" s="155">
        <v>44746</v>
      </c>
      <c r="D143" s="152" t="s">
        <v>440</v>
      </c>
      <c r="E143" s="152" t="s">
        <v>447</v>
      </c>
      <c r="F143" s="152">
        <v>260</v>
      </c>
      <c r="G143" s="152">
        <v>8</v>
      </c>
      <c r="H143" s="94">
        <v>10</v>
      </c>
      <c r="I143" s="156">
        <f t="shared" si="7"/>
        <v>0.8</v>
      </c>
      <c r="J143" s="94" t="s">
        <v>52</v>
      </c>
      <c r="K143">
        <v>3</v>
      </c>
      <c r="L143" s="160">
        <v>0.56666666666666665</v>
      </c>
    </row>
    <row r="144" spans="1:12" x14ac:dyDescent="0.35">
      <c r="A144" s="94">
        <v>2022</v>
      </c>
      <c r="B144" s="94" t="s">
        <v>52</v>
      </c>
      <c r="C144" s="155">
        <v>44746</v>
      </c>
      <c r="D144" s="152" t="s">
        <v>440</v>
      </c>
      <c r="E144" s="152" t="s">
        <v>439</v>
      </c>
      <c r="F144" s="152">
        <v>260</v>
      </c>
      <c r="G144" s="152">
        <v>4</v>
      </c>
      <c r="H144" s="94">
        <v>10</v>
      </c>
      <c r="I144" s="156">
        <f t="shared" si="7"/>
        <v>0.4</v>
      </c>
      <c r="J144" s="94" t="s">
        <v>460</v>
      </c>
      <c r="K144">
        <v>23</v>
      </c>
      <c r="L144">
        <v>0.69565217391304346</v>
      </c>
    </row>
    <row r="145" spans="1:9" x14ac:dyDescent="0.35">
      <c r="A145" s="94">
        <v>2022</v>
      </c>
      <c r="B145" s="94" t="s">
        <v>52</v>
      </c>
      <c r="C145" s="155">
        <v>44802</v>
      </c>
      <c r="D145" s="152" t="s">
        <v>445</v>
      </c>
      <c r="E145" s="152" t="s">
        <v>443</v>
      </c>
      <c r="F145" s="152">
        <v>260</v>
      </c>
      <c r="G145" s="152">
        <v>10</v>
      </c>
      <c r="H145" s="94">
        <v>10</v>
      </c>
      <c r="I145" s="156">
        <f t="shared" si="7"/>
        <v>1</v>
      </c>
    </row>
    <row r="146" spans="1:9" x14ac:dyDescent="0.35">
      <c r="A146" s="94">
        <v>2022</v>
      </c>
      <c r="B146" s="94" t="s">
        <v>52</v>
      </c>
      <c r="C146" s="155">
        <v>44802</v>
      </c>
      <c r="D146" s="152" t="s">
        <v>445</v>
      </c>
      <c r="E146" s="152" t="s">
        <v>443</v>
      </c>
      <c r="F146" s="152">
        <v>260</v>
      </c>
      <c r="G146" s="152">
        <v>4</v>
      </c>
      <c r="H146" s="94">
        <v>10</v>
      </c>
      <c r="I146" s="156">
        <f t="shared" si="7"/>
        <v>0.4</v>
      </c>
    </row>
    <row r="147" spans="1:9" x14ac:dyDescent="0.35">
      <c r="A147" s="94">
        <v>2022</v>
      </c>
      <c r="B147" s="94" t="s">
        <v>52</v>
      </c>
      <c r="C147" s="155">
        <v>44802</v>
      </c>
      <c r="D147" s="152" t="s">
        <v>441</v>
      </c>
      <c r="E147" s="152" t="s">
        <v>439</v>
      </c>
      <c r="F147" s="152">
        <v>260</v>
      </c>
      <c r="G147" s="152">
        <v>3</v>
      </c>
      <c r="H147" s="94">
        <v>10</v>
      </c>
      <c r="I147" s="156">
        <f t="shared" si="7"/>
        <v>0.3</v>
      </c>
    </row>
    <row r="148" spans="1:9" x14ac:dyDescent="0.35">
      <c r="A148" s="94">
        <v>2022</v>
      </c>
      <c r="B148" s="94" t="s">
        <v>52</v>
      </c>
      <c r="C148" s="155">
        <v>44858</v>
      </c>
      <c r="D148" s="152" t="s">
        <v>445</v>
      </c>
      <c r="E148" s="152" t="s">
        <v>443</v>
      </c>
      <c r="F148" s="152">
        <v>260</v>
      </c>
      <c r="G148" s="152">
        <v>11</v>
      </c>
      <c r="H148" s="94">
        <v>11</v>
      </c>
      <c r="I148" s="156">
        <f t="shared" si="7"/>
        <v>1</v>
      </c>
    </row>
    <row r="149" spans="1:9" x14ac:dyDescent="0.35">
      <c r="A149" s="94">
        <v>2022</v>
      </c>
      <c r="B149" s="94" t="s">
        <v>52</v>
      </c>
      <c r="C149" s="155">
        <v>44858</v>
      </c>
      <c r="D149" s="152" t="s">
        <v>445</v>
      </c>
      <c r="E149" s="152" t="s">
        <v>443</v>
      </c>
      <c r="F149" s="152">
        <v>260</v>
      </c>
      <c r="G149" s="152">
        <v>7</v>
      </c>
      <c r="H149" s="94">
        <v>10</v>
      </c>
      <c r="I149" s="156">
        <f t="shared" si="7"/>
        <v>0.7</v>
      </c>
    </row>
    <row r="150" spans="1:9" x14ac:dyDescent="0.35">
      <c r="A150" s="94">
        <v>2022</v>
      </c>
      <c r="B150" s="94" t="s">
        <v>52</v>
      </c>
      <c r="C150" s="155">
        <v>44858</v>
      </c>
      <c r="D150" s="152" t="s">
        <v>446</v>
      </c>
      <c r="E150" s="152" t="s">
        <v>443</v>
      </c>
      <c r="F150" s="152">
        <v>260</v>
      </c>
      <c r="G150" s="152">
        <v>2</v>
      </c>
      <c r="H150" s="94">
        <v>10</v>
      </c>
      <c r="I150" s="156">
        <f t="shared" si="7"/>
        <v>0.2</v>
      </c>
    </row>
    <row r="151" spans="1:9" x14ac:dyDescent="0.35">
      <c r="A151" s="94">
        <v>2022</v>
      </c>
      <c r="B151" s="94" t="s">
        <v>52</v>
      </c>
      <c r="C151" s="155">
        <v>44858</v>
      </c>
      <c r="D151" s="152" t="s">
        <v>440</v>
      </c>
      <c r="E151" s="152" t="s">
        <v>447</v>
      </c>
      <c r="F151" s="152">
        <v>260</v>
      </c>
      <c r="G151" s="152">
        <v>5</v>
      </c>
      <c r="H151" s="94">
        <v>10</v>
      </c>
      <c r="I151" s="156">
        <f t="shared" si="7"/>
        <v>0.5</v>
      </c>
    </row>
    <row r="152" spans="1:9" x14ac:dyDescent="0.35">
      <c r="A152" s="94">
        <v>2022</v>
      </c>
      <c r="B152" s="94" t="s">
        <v>54</v>
      </c>
      <c r="C152" s="155">
        <v>44564</v>
      </c>
      <c r="D152" s="152" t="s">
        <v>448</v>
      </c>
      <c r="E152" s="152" t="s">
        <v>443</v>
      </c>
      <c r="F152" s="152">
        <v>260</v>
      </c>
      <c r="G152" s="152">
        <v>4</v>
      </c>
      <c r="H152" s="94">
        <v>10</v>
      </c>
      <c r="I152" s="156">
        <f t="shared" ref="I152:I165" si="8">G152/H152</f>
        <v>0.4</v>
      </c>
    </row>
    <row r="153" spans="1:9" x14ac:dyDescent="0.35">
      <c r="A153" s="94">
        <v>2022</v>
      </c>
      <c r="B153" s="94" t="s">
        <v>54</v>
      </c>
      <c r="C153" s="155">
        <v>44564</v>
      </c>
      <c r="D153" s="152" t="s">
        <v>449</v>
      </c>
      <c r="E153" s="152" t="s">
        <v>443</v>
      </c>
      <c r="F153" s="152">
        <v>260</v>
      </c>
      <c r="G153" s="152">
        <v>9</v>
      </c>
      <c r="H153" s="94">
        <v>10</v>
      </c>
      <c r="I153" s="156">
        <f t="shared" si="8"/>
        <v>0.9</v>
      </c>
    </row>
    <row r="154" spans="1:9" x14ac:dyDescent="0.35">
      <c r="A154" s="94">
        <v>2022</v>
      </c>
      <c r="B154" s="94" t="s">
        <v>54</v>
      </c>
      <c r="C154" s="155">
        <v>44683</v>
      </c>
      <c r="D154" s="152" t="s">
        <v>449</v>
      </c>
      <c r="E154" s="152" t="s">
        <v>443</v>
      </c>
      <c r="F154" s="152">
        <v>260</v>
      </c>
      <c r="G154" s="152">
        <v>4</v>
      </c>
      <c r="H154" s="94">
        <v>10</v>
      </c>
      <c r="I154" s="156">
        <f t="shared" si="8"/>
        <v>0.4</v>
      </c>
    </row>
    <row r="155" spans="1:9" x14ac:dyDescent="0.35">
      <c r="A155" s="94">
        <v>2022</v>
      </c>
      <c r="B155" s="94" t="s">
        <v>54</v>
      </c>
      <c r="C155" s="155">
        <v>44683</v>
      </c>
      <c r="D155" s="152" t="s">
        <v>449</v>
      </c>
      <c r="E155" s="152" t="s">
        <v>443</v>
      </c>
      <c r="F155" s="152">
        <v>260</v>
      </c>
      <c r="G155" s="152">
        <v>10</v>
      </c>
      <c r="H155" s="94">
        <v>10</v>
      </c>
      <c r="I155" s="156">
        <f t="shared" si="8"/>
        <v>1</v>
      </c>
    </row>
    <row r="156" spans="1:9" x14ac:dyDescent="0.35">
      <c r="A156" s="94">
        <v>2022</v>
      </c>
      <c r="B156" s="94" t="s">
        <v>54</v>
      </c>
      <c r="C156" s="155">
        <v>44683</v>
      </c>
      <c r="D156" s="152" t="s">
        <v>441</v>
      </c>
      <c r="E156" s="152" t="s">
        <v>447</v>
      </c>
      <c r="F156" s="152">
        <v>260</v>
      </c>
      <c r="G156" s="152">
        <v>5</v>
      </c>
      <c r="H156" s="94">
        <v>10</v>
      </c>
      <c r="I156" s="156">
        <f t="shared" si="8"/>
        <v>0.5</v>
      </c>
    </row>
    <row r="157" spans="1:9" x14ac:dyDescent="0.35">
      <c r="A157" s="94">
        <v>2022</v>
      </c>
      <c r="B157" s="94" t="s">
        <v>54</v>
      </c>
      <c r="C157" s="155">
        <v>44683</v>
      </c>
      <c r="D157" s="152" t="s">
        <v>441</v>
      </c>
      <c r="E157" s="152" t="s">
        <v>439</v>
      </c>
      <c r="F157" s="152">
        <v>260</v>
      </c>
      <c r="G157" s="152">
        <v>3</v>
      </c>
      <c r="H157" s="94">
        <v>10</v>
      </c>
      <c r="I157" s="156">
        <f t="shared" si="8"/>
        <v>0.3</v>
      </c>
    </row>
    <row r="158" spans="1:9" x14ac:dyDescent="0.35">
      <c r="A158" s="94">
        <v>2022</v>
      </c>
      <c r="B158" s="94" t="s">
        <v>54</v>
      </c>
      <c r="C158" s="155">
        <v>44746</v>
      </c>
      <c r="D158" s="152" t="s">
        <v>449</v>
      </c>
      <c r="E158" s="152" t="s">
        <v>443</v>
      </c>
      <c r="F158" s="152">
        <v>260</v>
      </c>
      <c r="G158" s="152">
        <v>6</v>
      </c>
      <c r="H158" s="94">
        <v>10</v>
      </c>
      <c r="I158" s="156">
        <f t="shared" si="8"/>
        <v>0.6</v>
      </c>
    </row>
    <row r="159" spans="1:9" x14ac:dyDescent="0.35">
      <c r="A159" s="94">
        <v>2022</v>
      </c>
      <c r="B159" s="94" t="s">
        <v>54</v>
      </c>
      <c r="C159" s="155">
        <v>44746</v>
      </c>
      <c r="D159" s="152" t="s">
        <v>449</v>
      </c>
      <c r="E159" s="152" t="s">
        <v>443</v>
      </c>
      <c r="F159" s="152">
        <v>260</v>
      </c>
      <c r="G159" s="152">
        <v>5</v>
      </c>
      <c r="H159" s="94">
        <v>10</v>
      </c>
      <c r="I159" s="156">
        <f t="shared" si="8"/>
        <v>0.5</v>
      </c>
    </row>
    <row r="160" spans="1:9" x14ac:dyDescent="0.35">
      <c r="A160" s="94">
        <v>2022</v>
      </c>
      <c r="B160" s="94" t="s">
        <v>54</v>
      </c>
      <c r="C160" s="155">
        <v>44802</v>
      </c>
      <c r="D160" s="152" t="s">
        <v>449</v>
      </c>
      <c r="E160" s="152" t="s">
        <v>443</v>
      </c>
      <c r="F160" s="152">
        <v>260</v>
      </c>
      <c r="G160" s="152">
        <v>4</v>
      </c>
      <c r="H160" s="94">
        <v>10</v>
      </c>
      <c r="I160" s="156">
        <f t="shared" si="8"/>
        <v>0.4</v>
      </c>
    </row>
    <row r="161" spans="1:11" x14ac:dyDescent="0.35">
      <c r="A161" s="94">
        <v>2022</v>
      </c>
      <c r="B161" s="94" t="s">
        <v>54</v>
      </c>
      <c r="C161" s="155">
        <v>44802</v>
      </c>
      <c r="D161" s="152" t="s">
        <v>449</v>
      </c>
      <c r="E161" s="152" t="s">
        <v>443</v>
      </c>
      <c r="F161" s="152">
        <v>260</v>
      </c>
      <c r="G161" s="152">
        <v>6</v>
      </c>
      <c r="H161" s="94">
        <v>10</v>
      </c>
      <c r="I161" s="156">
        <f t="shared" si="8"/>
        <v>0.6</v>
      </c>
    </row>
    <row r="162" spans="1:11" x14ac:dyDescent="0.35">
      <c r="A162" s="94">
        <v>2022</v>
      </c>
      <c r="B162" s="94" t="s">
        <v>54</v>
      </c>
      <c r="C162" s="155">
        <v>44802</v>
      </c>
      <c r="D162" s="152" t="s">
        <v>440</v>
      </c>
      <c r="E162" s="152" t="s">
        <v>447</v>
      </c>
      <c r="F162" s="152">
        <v>260</v>
      </c>
      <c r="G162" s="152">
        <v>6</v>
      </c>
      <c r="H162" s="94">
        <v>10</v>
      </c>
      <c r="I162" s="156">
        <f t="shared" si="8"/>
        <v>0.6</v>
      </c>
    </row>
    <row r="163" spans="1:11" x14ac:dyDescent="0.35">
      <c r="A163" s="94">
        <v>2022</v>
      </c>
      <c r="B163" s="94" t="s">
        <v>54</v>
      </c>
      <c r="C163" s="155">
        <v>44858</v>
      </c>
      <c r="D163" s="152" t="s">
        <v>449</v>
      </c>
      <c r="E163" s="152" t="s">
        <v>443</v>
      </c>
      <c r="F163" s="152">
        <v>260</v>
      </c>
      <c r="G163" s="152">
        <v>6</v>
      </c>
      <c r="H163" s="94">
        <v>10</v>
      </c>
      <c r="I163" s="156">
        <f t="shared" si="8"/>
        <v>0.6</v>
      </c>
    </row>
    <row r="164" spans="1:11" x14ac:dyDescent="0.35">
      <c r="A164" s="94">
        <v>2022</v>
      </c>
      <c r="B164" s="94" t="s">
        <v>54</v>
      </c>
      <c r="C164" s="155">
        <v>44858</v>
      </c>
      <c r="D164" s="152" t="s">
        <v>449</v>
      </c>
      <c r="E164" s="152" t="s">
        <v>443</v>
      </c>
      <c r="F164" s="152">
        <v>260</v>
      </c>
      <c r="G164" s="152">
        <v>5</v>
      </c>
      <c r="H164" s="94">
        <v>10</v>
      </c>
      <c r="I164" s="156">
        <f t="shared" si="8"/>
        <v>0.5</v>
      </c>
    </row>
    <row r="165" spans="1:11" x14ac:dyDescent="0.35">
      <c r="A165" s="94">
        <v>2022</v>
      </c>
      <c r="B165" s="94" t="s">
        <v>54</v>
      </c>
      <c r="C165" s="155">
        <v>44858</v>
      </c>
      <c r="D165" s="152" t="s">
        <v>440</v>
      </c>
      <c r="E165" s="152" t="s">
        <v>447</v>
      </c>
      <c r="F165" s="152">
        <v>260</v>
      </c>
      <c r="G165" s="152">
        <v>4</v>
      </c>
      <c r="H165" s="94">
        <v>10</v>
      </c>
      <c r="I165" s="156">
        <f t="shared" si="8"/>
        <v>0.4</v>
      </c>
    </row>
    <row r="166" spans="1:11" x14ac:dyDescent="0.35">
      <c r="A166" s="94">
        <v>2022</v>
      </c>
      <c r="B166" s="94" t="s">
        <v>56</v>
      </c>
      <c r="C166" s="155">
        <v>44564</v>
      </c>
      <c r="D166" s="152" t="s">
        <v>441</v>
      </c>
      <c r="E166" s="152" t="s">
        <v>439</v>
      </c>
      <c r="F166" s="152">
        <v>180</v>
      </c>
      <c r="G166" s="152">
        <v>5</v>
      </c>
      <c r="H166" s="94">
        <v>10</v>
      </c>
      <c r="I166" s="156">
        <f t="shared" ref="I166:I176" si="9">G166/H166</f>
        <v>0.5</v>
      </c>
    </row>
    <row r="167" spans="1:11" x14ac:dyDescent="0.35">
      <c r="A167" s="94">
        <v>2022</v>
      </c>
      <c r="B167" s="94" t="s">
        <v>56</v>
      </c>
      <c r="C167" s="155">
        <v>44683</v>
      </c>
      <c r="D167" s="152" t="s">
        <v>441</v>
      </c>
      <c r="E167" s="152" t="s">
        <v>439</v>
      </c>
      <c r="F167" s="152">
        <v>180</v>
      </c>
      <c r="G167" s="152">
        <v>5</v>
      </c>
      <c r="H167" s="94">
        <v>10</v>
      </c>
      <c r="I167" s="156">
        <f t="shared" si="9"/>
        <v>0.5</v>
      </c>
    </row>
    <row r="168" spans="1:11" x14ac:dyDescent="0.35">
      <c r="A168" s="94">
        <v>2022</v>
      </c>
      <c r="B168" s="94" t="s">
        <v>56</v>
      </c>
      <c r="C168" s="155">
        <v>44746</v>
      </c>
      <c r="D168" s="152" t="s">
        <v>445</v>
      </c>
      <c r="E168" s="152" t="s">
        <v>443</v>
      </c>
      <c r="F168" s="152">
        <v>180</v>
      </c>
      <c r="G168" s="152">
        <v>4</v>
      </c>
      <c r="H168" s="94">
        <v>10</v>
      </c>
      <c r="I168" s="156">
        <f t="shared" si="9"/>
        <v>0.4</v>
      </c>
    </row>
    <row r="169" spans="1:11" x14ac:dyDescent="0.35">
      <c r="A169" s="94">
        <v>2022</v>
      </c>
      <c r="B169" s="94" t="s">
        <v>56</v>
      </c>
      <c r="C169" s="155">
        <v>44746</v>
      </c>
      <c r="D169" s="152" t="s">
        <v>440</v>
      </c>
      <c r="E169" s="152" t="s">
        <v>439</v>
      </c>
      <c r="F169" s="152">
        <v>180</v>
      </c>
      <c r="G169" s="152">
        <v>6</v>
      </c>
      <c r="H169" s="94">
        <v>10</v>
      </c>
      <c r="I169" s="156">
        <f t="shared" si="9"/>
        <v>0.6</v>
      </c>
    </row>
    <row r="170" spans="1:11" x14ac:dyDescent="0.35">
      <c r="A170" s="94">
        <v>2022</v>
      </c>
      <c r="B170" s="94" t="s">
        <v>56</v>
      </c>
      <c r="C170" s="155">
        <v>44746</v>
      </c>
      <c r="D170" s="152" t="s">
        <v>441</v>
      </c>
      <c r="E170" s="152" t="s">
        <v>439</v>
      </c>
      <c r="F170" s="152">
        <v>180</v>
      </c>
      <c r="G170" s="152">
        <v>10</v>
      </c>
      <c r="H170" s="94">
        <v>10</v>
      </c>
      <c r="I170" s="156">
        <f t="shared" si="9"/>
        <v>1</v>
      </c>
      <c r="K170" s="160"/>
    </row>
    <row r="171" spans="1:11" x14ac:dyDescent="0.35">
      <c r="A171" s="94">
        <v>2022</v>
      </c>
      <c r="B171" s="94" t="s">
        <v>56</v>
      </c>
      <c r="C171" s="155">
        <v>44802</v>
      </c>
      <c r="D171" s="152" t="s">
        <v>445</v>
      </c>
      <c r="E171" s="152" t="s">
        <v>443</v>
      </c>
      <c r="F171" s="152">
        <v>180</v>
      </c>
      <c r="G171" s="152">
        <v>8</v>
      </c>
      <c r="H171" s="94">
        <v>10</v>
      </c>
      <c r="I171" s="156">
        <f t="shared" si="9"/>
        <v>0.8</v>
      </c>
    </row>
    <row r="172" spans="1:11" x14ac:dyDescent="0.35">
      <c r="A172" s="94">
        <v>2022</v>
      </c>
      <c r="B172" s="94" t="s">
        <v>56</v>
      </c>
      <c r="C172" s="155">
        <v>44802</v>
      </c>
      <c r="D172" s="152" t="s">
        <v>440</v>
      </c>
      <c r="E172" s="152" t="s">
        <v>439</v>
      </c>
      <c r="F172" s="152">
        <v>180</v>
      </c>
      <c r="G172" s="152">
        <v>8</v>
      </c>
      <c r="H172" s="94">
        <v>10</v>
      </c>
      <c r="I172" s="156">
        <f t="shared" si="9"/>
        <v>0.8</v>
      </c>
    </row>
    <row r="173" spans="1:11" x14ac:dyDescent="0.35">
      <c r="A173" s="94">
        <v>2022</v>
      </c>
      <c r="B173" s="94" t="s">
        <v>56</v>
      </c>
      <c r="C173" s="155">
        <v>44802</v>
      </c>
      <c r="D173" s="152" t="s">
        <v>441</v>
      </c>
      <c r="E173" s="152" t="s">
        <v>439</v>
      </c>
      <c r="F173" s="152">
        <v>180</v>
      </c>
      <c r="G173" s="152">
        <v>6</v>
      </c>
      <c r="H173" s="94">
        <v>10</v>
      </c>
      <c r="I173" s="156">
        <f t="shared" si="9"/>
        <v>0.6</v>
      </c>
    </row>
    <row r="174" spans="1:11" x14ac:dyDescent="0.35">
      <c r="A174" s="94">
        <v>2022</v>
      </c>
      <c r="B174" s="94" t="s">
        <v>56</v>
      </c>
      <c r="C174" s="155">
        <v>44858</v>
      </c>
      <c r="D174" s="152" t="s">
        <v>445</v>
      </c>
      <c r="E174" s="152" t="s">
        <v>443</v>
      </c>
      <c r="F174" s="152">
        <v>180</v>
      </c>
      <c r="G174" s="152">
        <v>5</v>
      </c>
      <c r="H174" s="94">
        <v>10</v>
      </c>
      <c r="I174" s="156">
        <f t="shared" si="9"/>
        <v>0.5</v>
      </c>
    </row>
    <row r="175" spans="1:11" x14ac:dyDescent="0.35">
      <c r="A175" s="94">
        <v>2022</v>
      </c>
      <c r="B175" s="94" t="s">
        <v>56</v>
      </c>
      <c r="C175" s="155">
        <v>44858</v>
      </c>
      <c r="D175" s="152" t="s">
        <v>440</v>
      </c>
      <c r="E175" s="152" t="s">
        <v>439</v>
      </c>
      <c r="F175" s="152">
        <v>180</v>
      </c>
      <c r="G175" s="152">
        <v>2</v>
      </c>
      <c r="H175" s="94">
        <v>10</v>
      </c>
      <c r="I175" s="156">
        <f t="shared" si="9"/>
        <v>0.2</v>
      </c>
    </row>
    <row r="176" spans="1:11" x14ac:dyDescent="0.35">
      <c r="A176" s="94">
        <v>2022</v>
      </c>
      <c r="B176" s="94" t="s">
        <v>56</v>
      </c>
      <c r="C176" s="155">
        <v>44858</v>
      </c>
      <c r="D176" s="152" t="s">
        <v>441</v>
      </c>
      <c r="E176" s="152" t="s">
        <v>439</v>
      </c>
      <c r="F176" s="152">
        <v>260</v>
      </c>
      <c r="G176" s="152">
        <v>9</v>
      </c>
      <c r="H176" s="94">
        <v>10</v>
      </c>
      <c r="I176" s="156">
        <f t="shared" si="9"/>
        <v>0.9</v>
      </c>
    </row>
    <row r="177" spans="1:11" x14ac:dyDescent="0.35">
      <c r="A177" s="95">
        <v>2022</v>
      </c>
      <c r="B177" s="95" t="s">
        <v>48</v>
      </c>
      <c r="C177" s="171">
        <v>44564</v>
      </c>
      <c r="D177" s="172" t="s">
        <v>445</v>
      </c>
      <c r="E177" s="172" t="s">
        <v>443</v>
      </c>
      <c r="F177" s="172">
        <v>260</v>
      </c>
      <c r="G177" s="172">
        <v>4</v>
      </c>
      <c r="H177" s="95">
        <v>10</v>
      </c>
      <c r="I177" s="173">
        <v>0.4</v>
      </c>
    </row>
    <row r="178" spans="1:11" x14ac:dyDescent="0.35">
      <c r="A178" s="95">
        <v>2022</v>
      </c>
      <c r="B178" s="95" t="s">
        <v>48</v>
      </c>
      <c r="C178" s="171">
        <v>44564</v>
      </c>
      <c r="D178" s="172" t="s">
        <v>449</v>
      </c>
      <c r="E178" s="172" t="s">
        <v>443</v>
      </c>
      <c r="F178" s="172">
        <v>260</v>
      </c>
      <c r="G178" s="172">
        <v>10</v>
      </c>
      <c r="H178" s="95">
        <v>10</v>
      </c>
      <c r="I178" s="173">
        <v>1</v>
      </c>
    </row>
    <row r="179" spans="1:11" x14ac:dyDescent="0.35">
      <c r="A179" s="95">
        <v>2022</v>
      </c>
      <c r="B179" s="95" t="s">
        <v>48</v>
      </c>
      <c r="C179" s="171">
        <v>44564</v>
      </c>
      <c r="D179" s="172" t="s">
        <v>446</v>
      </c>
      <c r="E179" s="172" t="s">
        <v>443</v>
      </c>
      <c r="F179" s="172">
        <v>260</v>
      </c>
      <c r="G179" s="172">
        <v>7</v>
      </c>
      <c r="H179" s="95">
        <v>10</v>
      </c>
      <c r="I179" s="173">
        <v>0.7</v>
      </c>
    </row>
    <row r="180" spans="1:11" x14ac:dyDescent="0.35">
      <c r="A180" s="95">
        <v>2022</v>
      </c>
      <c r="B180" s="95" t="s">
        <v>48</v>
      </c>
      <c r="C180" s="171">
        <v>44564</v>
      </c>
      <c r="D180" s="172" t="s">
        <v>446</v>
      </c>
      <c r="E180" s="172" t="s">
        <v>443</v>
      </c>
      <c r="F180" s="172">
        <v>260</v>
      </c>
      <c r="G180" s="172">
        <v>4</v>
      </c>
      <c r="H180" s="95">
        <v>10</v>
      </c>
      <c r="I180" s="173">
        <v>0.4</v>
      </c>
    </row>
    <row r="181" spans="1:11" x14ac:dyDescent="0.35">
      <c r="A181" s="95">
        <v>2022</v>
      </c>
      <c r="B181" s="95" t="s">
        <v>48</v>
      </c>
      <c r="C181" s="171">
        <v>44564</v>
      </c>
      <c r="D181" s="172" t="s">
        <v>438</v>
      </c>
      <c r="E181" s="172" t="s">
        <v>443</v>
      </c>
      <c r="F181" s="172">
        <v>260</v>
      </c>
      <c r="G181" s="172">
        <v>8</v>
      </c>
      <c r="H181" s="95">
        <v>10</v>
      </c>
      <c r="I181" s="173">
        <v>0.8</v>
      </c>
    </row>
    <row r="182" spans="1:11" x14ac:dyDescent="0.35">
      <c r="A182" s="95">
        <v>2022</v>
      </c>
      <c r="B182" s="95" t="s">
        <v>48</v>
      </c>
      <c r="C182" s="171">
        <v>44564</v>
      </c>
      <c r="D182" s="172" t="s">
        <v>438</v>
      </c>
      <c r="E182" s="172" t="s">
        <v>443</v>
      </c>
      <c r="F182" s="172">
        <v>260</v>
      </c>
      <c r="G182" s="172">
        <v>10</v>
      </c>
      <c r="H182" s="95">
        <v>10</v>
      </c>
      <c r="I182" s="173">
        <v>1</v>
      </c>
    </row>
    <row r="183" spans="1:11" x14ac:dyDescent="0.35">
      <c r="A183" s="95">
        <v>2022</v>
      </c>
      <c r="B183" s="95" t="s">
        <v>48</v>
      </c>
      <c r="C183" s="171">
        <v>44564</v>
      </c>
      <c r="D183" s="172" t="s">
        <v>440</v>
      </c>
      <c r="E183" s="172" t="s">
        <v>439</v>
      </c>
      <c r="F183" s="172">
        <v>260</v>
      </c>
      <c r="G183" s="172">
        <v>3</v>
      </c>
      <c r="H183" s="95">
        <v>10</v>
      </c>
      <c r="I183" s="173">
        <v>0.3</v>
      </c>
      <c r="K183" s="160"/>
    </row>
    <row r="184" spans="1:11" x14ac:dyDescent="0.35">
      <c r="A184" s="95">
        <v>2022</v>
      </c>
      <c r="B184" s="95" t="s">
        <v>48</v>
      </c>
      <c r="C184" s="171">
        <v>44564</v>
      </c>
      <c r="D184" s="172" t="s">
        <v>440</v>
      </c>
      <c r="E184" s="172" t="s">
        <v>439</v>
      </c>
      <c r="F184" s="172">
        <v>260</v>
      </c>
      <c r="G184" s="172">
        <v>5</v>
      </c>
      <c r="H184" s="95">
        <v>10</v>
      </c>
      <c r="I184" s="173">
        <v>0.5</v>
      </c>
    </row>
    <row r="185" spans="1:11" x14ac:dyDescent="0.35">
      <c r="A185" s="95">
        <v>2022</v>
      </c>
      <c r="B185" s="95" t="s">
        <v>48</v>
      </c>
      <c r="C185" s="171">
        <v>44564</v>
      </c>
      <c r="D185" s="172" t="s">
        <v>441</v>
      </c>
      <c r="E185" s="172" t="s">
        <v>439</v>
      </c>
      <c r="F185" s="172">
        <v>260</v>
      </c>
      <c r="G185" s="172">
        <v>8</v>
      </c>
      <c r="H185" s="95">
        <v>10</v>
      </c>
      <c r="I185" s="173">
        <v>0.8</v>
      </c>
    </row>
    <row r="186" spans="1:11" x14ac:dyDescent="0.35">
      <c r="A186" s="95">
        <v>2022</v>
      </c>
      <c r="B186" s="95" t="s">
        <v>48</v>
      </c>
      <c r="C186" s="171">
        <v>44683</v>
      </c>
      <c r="D186" s="172" t="s">
        <v>448</v>
      </c>
      <c r="E186" s="172" t="s">
        <v>443</v>
      </c>
      <c r="F186" s="172">
        <v>260</v>
      </c>
      <c r="G186" s="172">
        <v>4</v>
      </c>
      <c r="H186" s="95">
        <v>10</v>
      </c>
      <c r="I186" s="173">
        <v>0.4</v>
      </c>
    </row>
    <row r="187" spans="1:11" x14ac:dyDescent="0.35">
      <c r="A187" s="95">
        <v>2022</v>
      </c>
      <c r="B187" s="95" t="s">
        <v>48</v>
      </c>
      <c r="C187" s="171">
        <v>44683</v>
      </c>
      <c r="D187" s="172" t="s">
        <v>449</v>
      </c>
      <c r="E187" s="172" t="s">
        <v>443</v>
      </c>
      <c r="F187" s="172">
        <v>260</v>
      </c>
      <c r="G187" s="172">
        <v>6</v>
      </c>
      <c r="H187" s="95">
        <v>10</v>
      </c>
      <c r="I187" s="173">
        <v>0.6</v>
      </c>
    </row>
    <row r="188" spans="1:11" x14ac:dyDescent="0.35">
      <c r="A188" s="95">
        <v>2022</v>
      </c>
      <c r="B188" s="95" t="s">
        <v>48</v>
      </c>
      <c r="C188" s="171">
        <v>44683</v>
      </c>
      <c r="D188" s="172" t="s">
        <v>446</v>
      </c>
      <c r="E188" s="172" t="s">
        <v>443</v>
      </c>
      <c r="F188" s="172">
        <v>260</v>
      </c>
      <c r="G188" s="172">
        <v>8</v>
      </c>
      <c r="H188" s="95">
        <v>10</v>
      </c>
      <c r="I188" s="173">
        <v>0.8</v>
      </c>
    </row>
    <row r="189" spans="1:11" x14ac:dyDescent="0.35">
      <c r="A189" s="95">
        <v>2022</v>
      </c>
      <c r="B189" s="95" t="s">
        <v>48</v>
      </c>
      <c r="C189" s="171">
        <v>44683</v>
      </c>
      <c r="D189" s="172" t="s">
        <v>438</v>
      </c>
      <c r="E189" s="172" t="s">
        <v>443</v>
      </c>
      <c r="F189" s="172">
        <v>260</v>
      </c>
      <c r="G189" s="172">
        <v>3</v>
      </c>
      <c r="H189" s="95">
        <v>10</v>
      </c>
      <c r="I189" s="173">
        <v>0.3</v>
      </c>
    </row>
    <row r="190" spans="1:11" x14ac:dyDescent="0.35">
      <c r="A190" s="95">
        <v>2022</v>
      </c>
      <c r="B190" s="95" t="s">
        <v>48</v>
      </c>
      <c r="C190" s="171">
        <v>44683</v>
      </c>
      <c r="D190" s="172" t="s">
        <v>440</v>
      </c>
      <c r="E190" s="172" t="s">
        <v>439</v>
      </c>
      <c r="F190" s="172">
        <v>230</v>
      </c>
      <c r="G190" s="172">
        <v>4</v>
      </c>
      <c r="H190" s="95">
        <v>10</v>
      </c>
      <c r="I190" s="173">
        <v>0.4</v>
      </c>
    </row>
    <row r="191" spans="1:11" x14ac:dyDescent="0.35">
      <c r="A191" s="95">
        <v>2022</v>
      </c>
      <c r="B191" s="95" t="s">
        <v>48</v>
      </c>
      <c r="C191" s="171">
        <v>44683</v>
      </c>
      <c r="D191" s="172" t="s">
        <v>440</v>
      </c>
      <c r="E191" s="172" t="s">
        <v>439</v>
      </c>
      <c r="F191" s="172">
        <v>260</v>
      </c>
      <c r="G191" s="172">
        <v>7</v>
      </c>
      <c r="H191" s="95">
        <v>10</v>
      </c>
      <c r="I191" s="173">
        <v>0.7</v>
      </c>
    </row>
    <row r="192" spans="1:11" x14ac:dyDescent="0.35">
      <c r="A192" s="95">
        <v>2022</v>
      </c>
      <c r="B192" s="95" t="s">
        <v>48</v>
      </c>
      <c r="C192" s="171">
        <v>44746</v>
      </c>
      <c r="D192" s="172" t="s">
        <v>448</v>
      </c>
      <c r="E192" s="172" t="s">
        <v>443</v>
      </c>
      <c r="F192" s="172">
        <v>260</v>
      </c>
      <c r="G192" s="172">
        <v>4</v>
      </c>
      <c r="H192" s="95">
        <v>10</v>
      </c>
      <c r="I192" s="173">
        <v>0.4</v>
      </c>
    </row>
    <row r="193" spans="1:9" x14ac:dyDescent="0.35">
      <c r="A193" s="95">
        <v>2022</v>
      </c>
      <c r="B193" s="95" t="s">
        <v>48</v>
      </c>
      <c r="C193" s="171">
        <v>44746</v>
      </c>
      <c r="D193" s="172" t="s">
        <v>446</v>
      </c>
      <c r="E193" s="172" t="s">
        <v>443</v>
      </c>
      <c r="F193" s="172">
        <v>220</v>
      </c>
      <c r="G193" s="172">
        <v>6</v>
      </c>
      <c r="H193" s="95">
        <v>10</v>
      </c>
      <c r="I193" s="173">
        <v>0.6</v>
      </c>
    </row>
    <row r="194" spans="1:9" x14ac:dyDescent="0.35">
      <c r="A194" s="95">
        <v>2022</v>
      </c>
      <c r="B194" s="95" t="s">
        <v>48</v>
      </c>
      <c r="C194" s="171">
        <v>44746</v>
      </c>
      <c r="D194" s="172" t="s">
        <v>446</v>
      </c>
      <c r="E194" s="172" t="s">
        <v>443</v>
      </c>
      <c r="F194" s="172">
        <v>260</v>
      </c>
      <c r="G194" s="172">
        <v>8</v>
      </c>
      <c r="H194" s="95">
        <v>10</v>
      </c>
      <c r="I194" s="173">
        <v>0.8</v>
      </c>
    </row>
    <row r="195" spans="1:9" x14ac:dyDescent="0.35">
      <c r="A195" s="95">
        <v>2022</v>
      </c>
      <c r="B195" s="95" t="s">
        <v>48</v>
      </c>
      <c r="C195" s="171">
        <v>44746</v>
      </c>
      <c r="D195" s="172" t="s">
        <v>438</v>
      </c>
      <c r="E195" s="172" t="s">
        <v>443</v>
      </c>
      <c r="F195" s="172">
        <v>260</v>
      </c>
      <c r="G195" s="172">
        <v>5</v>
      </c>
      <c r="H195" s="95">
        <v>10</v>
      </c>
      <c r="I195" s="173">
        <v>0.5</v>
      </c>
    </row>
    <row r="196" spans="1:9" x14ac:dyDescent="0.35">
      <c r="A196" s="95">
        <v>2022</v>
      </c>
      <c r="B196" s="95" t="s">
        <v>48</v>
      </c>
      <c r="C196" s="171">
        <v>44746</v>
      </c>
      <c r="D196" s="172" t="s">
        <v>438</v>
      </c>
      <c r="E196" s="172" t="s">
        <v>443</v>
      </c>
      <c r="F196" s="172">
        <v>260</v>
      </c>
      <c r="G196" s="172">
        <v>6</v>
      </c>
      <c r="H196" s="95">
        <v>10</v>
      </c>
      <c r="I196" s="173">
        <v>0.6</v>
      </c>
    </row>
    <row r="197" spans="1:9" x14ac:dyDescent="0.35">
      <c r="A197" s="95">
        <v>2022</v>
      </c>
      <c r="B197" s="95" t="s">
        <v>48</v>
      </c>
      <c r="C197" s="171">
        <v>44746</v>
      </c>
      <c r="D197" s="172" t="s">
        <v>441</v>
      </c>
      <c r="E197" s="172" t="s">
        <v>439</v>
      </c>
      <c r="F197" s="172">
        <v>220</v>
      </c>
      <c r="G197" s="172">
        <v>8</v>
      </c>
      <c r="H197" s="95">
        <v>10</v>
      </c>
      <c r="I197" s="173">
        <v>0.8</v>
      </c>
    </row>
    <row r="198" spans="1:9" x14ac:dyDescent="0.35">
      <c r="A198" s="95">
        <v>2022</v>
      </c>
      <c r="B198" s="95" t="s">
        <v>48</v>
      </c>
      <c r="C198" s="171">
        <v>44802</v>
      </c>
      <c r="D198" s="172" t="s">
        <v>438</v>
      </c>
      <c r="E198" s="172" t="s">
        <v>443</v>
      </c>
      <c r="F198" s="172">
        <v>260</v>
      </c>
      <c r="G198" s="172">
        <v>5</v>
      </c>
      <c r="H198" s="95">
        <v>10</v>
      </c>
      <c r="I198" s="173">
        <v>0.5</v>
      </c>
    </row>
    <row r="199" spans="1:9" x14ac:dyDescent="0.35">
      <c r="A199" s="95">
        <v>2022</v>
      </c>
      <c r="B199" s="95" t="s">
        <v>48</v>
      </c>
      <c r="C199" s="171">
        <v>44802</v>
      </c>
      <c r="D199" s="172" t="s">
        <v>438</v>
      </c>
      <c r="E199" s="172" t="s">
        <v>443</v>
      </c>
      <c r="F199" s="172">
        <v>260</v>
      </c>
      <c r="G199" s="172">
        <v>10</v>
      </c>
      <c r="H199" s="95">
        <v>10</v>
      </c>
      <c r="I199" s="173">
        <v>1</v>
      </c>
    </row>
    <row r="200" spans="1:9" x14ac:dyDescent="0.35">
      <c r="A200" s="95">
        <v>2022</v>
      </c>
      <c r="B200" s="95" t="s">
        <v>48</v>
      </c>
      <c r="C200" s="171">
        <v>44802</v>
      </c>
      <c r="D200" s="172" t="s">
        <v>438</v>
      </c>
      <c r="E200" s="172" t="s">
        <v>443</v>
      </c>
      <c r="F200" s="172">
        <v>260</v>
      </c>
      <c r="G200" s="172">
        <v>8</v>
      </c>
      <c r="H200" s="95">
        <v>10</v>
      </c>
      <c r="I200" s="173">
        <v>0.8</v>
      </c>
    </row>
    <row r="201" spans="1:9" ht="14.65" customHeight="1" x14ac:dyDescent="0.35">
      <c r="A201" s="95">
        <v>2022</v>
      </c>
      <c r="B201" s="95" t="s">
        <v>48</v>
      </c>
      <c r="C201" s="171">
        <v>44802</v>
      </c>
      <c r="D201" s="172" t="s">
        <v>440</v>
      </c>
      <c r="E201" s="172" t="s">
        <v>439</v>
      </c>
      <c r="F201" s="172">
        <v>260</v>
      </c>
      <c r="G201" s="172">
        <v>7</v>
      </c>
      <c r="H201" s="95">
        <v>10</v>
      </c>
      <c r="I201" s="173">
        <v>0.7</v>
      </c>
    </row>
    <row r="202" spans="1:9" x14ac:dyDescent="0.35">
      <c r="A202" s="95">
        <v>2022</v>
      </c>
      <c r="B202" s="95" t="s">
        <v>48</v>
      </c>
      <c r="C202" s="171">
        <v>44802</v>
      </c>
      <c r="D202" s="172" t="s">
        <v>441</v>
      </c>
      <c r="E202" s="172" t="s">
        <v>439</v>
      </c>
      <c r="F202" s="172">
        <v>260</v>
      </c>
      <c r="G202" s="172">
        <v>10</v>
      </c>
      <c r="H202" s="95">
        <v>10</v>
      </c>
      <c r="I202" s="173">
        <v>1</v>
      </c>
    </row>
    <row r="203" spans="1:9" x14ac:dyDescent="0.35">
      <c r="A203" s="95">
        <v>2022</v>
      </c>
      <c r="B203" s="95" t="s">
        <v>48</v>
      </c>
      <c r="C203" s="171">
        <v>44858</v>
      </c>
      <c r="D203" s="172" t="s">
        <v>438</v>
      </c>
      <c r="E203" s="172" t="s">
        <v>443</v>
      </c>
      <c r="F203" s="172">
        <v>260</v>
      </c>
      <c r="G203" s="172">
        <v>5</v>
      </c>
      <c r="H203" s="95">
        <v>10</v>
      </c>
      <c r="I203" s="173">
        <v>0.5</v>
      </c>
    </row>
    <row r="204" spans="1:9" x14ac:dyDescent="0.35">
      <c r="A204" s="95">
        <v>2022</v>
      </c>
      <c r="B204" s="95" t="s">
        <v>48</v>
      </c>
      <c r="C204" s="171">
        <v>44858</v>
      </c>
      <c r="D204" s="172" t="s">
        <v>438</v>
      </c>
      <c r="E204" s="172" t="s">
        <v>443</v>
      </c>
      <c r="F204" s="172">
        <v>260</v>
      </c>
      <c r="G204" s="172">
        <v>8</v>
      </c>
      <c r="H204" s="95">
        <v>10</v>
      </c>
      <c r="I204" s="173">
        <v>0.8</v>
      </c>
    </row>
    <row r="205" spans="1:9" x14ac:dyDescent="0.35">
      <c r="A205" s="95">
        <v>2022</v>
      </c>
      <c r="B205" s="95" t="s">
        <v>48</v>
      </c>
      <c r="C205" s="171">
        <v>44858</v>
      </c>
      <c r="D205" s="172" t="s">
        <v>440</v>
      </c>
      <c r="E205" s="172" t="s">
        <v>439</v>
      </c>
      <c r="F205" s="172">
        <v>260</v>
      </c>
      <c r="G205" s="172">
        <v>3</v>
      </c>
      <c r="H205" s="95">
        <v>10</v>
      </c>
      <c r="I205" s="173">
        <v>0.3</v>
      </c>
    </row>
    <row r="206" spans="1:9" x14ac:dyDescent="0.35">
      <c r="A206" s="95">
        <v>2022</v>
      </c>
      <c r="B206" s="95" t="s">
        <v>48</v>
      </c>
      <c r="C206" s="171">
        <v>44858</v>
      </c>
      <c r="D206" s="172" t="s">
        <v>440</v>
      </c>
      <c r="E206" s="172" t="s">
        <v>439</v>
      </c>
      <c r="F206" s="172">
        <v>260</v>
      </c>
      <c r="G206" s="172">
        <v>5</v>
      </c>
      <c r="H206" s="95">
        <v>10</v>
      </c>
      <c r="I206" s="173">
        <v>0.5</v>
      </c>
    </row>
    <row r="207" spans="1:9" x14ac:dyDescent="0.35">
      <c r="A207" s="95"/>
      <c r="B207" s="95"/>
      <c r="C207" s="95"/>
      <c r="D207" s="95"/>
      <c r="E207" s="95"/>
      <c r="F207" s="95"/>
      <c r="G207" s="95"/>
      <c r="H207" s="95"/>
      <c r="I207" s="95"/>
    </row>
    <row r="269" spans="10:10" x14ac:dyDescent="0.35">
      <c r="J269" s="171"/>
    </row>
    <row r="270" spans="10:10" x14ac:dyDescent="0.35">
      <c r="J270" s="171"/>
    </row>
    <row r="271" spans="10:10" x14ac:dyDescent="0.35">
      <c r="J271" s="171"/>
    </row>
    <row r="272" spans="10:10" x14ac:dyDescent="0.35">
      <c r="J272" s="171"/>
    </row>
  </sheetData>
  <autoFilter ref="J109:L206" xr:uid="{0F3DE986-59CB-4379-8C56-DEB47D9F9302}"/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EEA5-0887-4D07-AC80-A6127F968D30}">
  <sheetPr codeName="Sheet4"/>
  <dimension ref="A1:I39"/>
  <sheetViews>
    <sheetView topLeftCell="A14" workbookViewId="0">
      <selection activeCell="B7" sqref="B7"/>
    </sheetView>
  </sheetViews>
  <sheetFormatPr defaultRowHeight="14.5" x14ac:dyDescent="0.35"/>
  <cols>
    <col min="1" max="1" width="25.453125" customWidth="1"/>
    <col min="2" max="2" width="21.7265625" customWidth="1"/>
    <col min="3" max="3" width="23.26953125" customWidth="1"/>
    <col min="4" max="4" width="23.7265625" customWidth="1"/>
    <col min="5" max="5" width="27.453125" customWidth="1"/>
    <col min="6" max="6" width="15" customWidth="1"/>
    <col min="7" max="7" width="17" customWidth="1"/>
  </cols>
  <sheetData>
    <row r="1" spans="1:9" x14ac:dyDescent="0.35">
      <c r="A1" s="707" t="s">
        <v>461</v>
      </c>
      <c r="B1" s="701"/>
      <c r="C1" s="701"/>
      <c r="D1" s="701"/>
      <c r="E1" s="701"/>
    </row>
    <row r="2" spans="1:9" x14ac:dyDescent="0.35">
      <c r="A2" s="701"/>
      <c r="B2" s="701"/>
      <c r="C2" s="701"/>
      <c r="D2" s="701"/>
      <c r="E2" s="701"/>
    </row>
    <row r="3" spans="1:9" ht="43.5" x14ac:dyDescent="0.35">
      <c r="A3" s="22" t="s">
        <v>34</v>
      </c>
      <c r="B3" s="23" t="s">
        <v>383</v>
      </c>
      <c r="C3" s="23" t="s">
        <v>246</v>
      </c>
      <c r="D3" s="28" t="s">
        <v>462</v>
      </c>
      <c r="E3" s="22" t="s">
        <v>463</v>
      </c>
    </row>
    <row r="4" spans="1:9" x14ac:dyDescent="0.35">
      <c r="A4" s="24" t="s">
        <v>41</v>
      </c>
      <c r="B4" s="25">
        <v>25</v>
      </c>
      <c r="C4" s="21">
        <v>605</v>
      </c>
      <c r="D4" s="21">
        <v>260</v>
      </c>
      <c r="E4" s="39">
        <v>0.71</v>
      </c>
    </row>
    <row r="5" spans="1:9" x14ac:dyDescent="0.35">
      <c r="A5" s="24" t="s">
        <v>43</v>
      </c>
      <c r="B5" s="25">
        <v>10</v>
      </c>
      <c r="C5" s="21">
        <v>105</v>
      </c>
      <c r="D5" s="21">
        <v>260</v>
      </c>
      <c r="E5" s="40">
        <v>0.33</v>
      </c>
    </row>
    <row r="6" spans="1:9" x14ac:dyDescent="0.35">
      <c r="A6" s="24" t="s">
        <v>46</v>
      </c>
      <c r="B6" s="25">
        <v>5</v>
      </c>
      <c r="C6" s="21">
        <v>0</v>
      </c>
      <c r="D6" s="21">
        <v>260</v>
      </c>
      <c r="E6" s="14">
        <v>0.5</v>
      </c>
    </row>
    <row r="7" spans="1:9" x14ac:dyDescent="0.35">
      <c r="A7" s="24" t="s">
        <v>48</v>
      </c>
      <c r="B7" s="25">
        <v>30</v>
      </c>
      <c r="C7" s="21">
        <v>1110</v>
      </c>
      <c r="D7" s="21">
        <v>260</v>
      </c>
      <c r="E7" s="39">
        <v>0.63</v>
      </c>
    </row>
    <row r="8" spans="1:9" x14ac:dyDescent="0.35">
      <c r="A8" s="26" t="s">
        <v>50</v>
      </c>
      <c r="B8" s="25">
        <v>14</v>
      </c>
      <c r="C8" s="21">
        <v>505</v>
      </c>
      <c r="D8" s="21">
        <v>220</v>
      </c>
      <c r="E8" s="14">
        <v>0.54</v>
      </c>
    </row>
    <row r="9" spans="1:9" x14ac:dyDescent="0.35">
      <c r="A9" s="26" t="s">
        <v>52</v>
      </c>
      <c r="B9" s="25">
        <v>25</v>
      </c>
      <c r="C9" s="21">
        <v>695</v>
      </c>
      <c r="D9" s="21">
        <v>260</v>
      </c>
      <c r="E9" s="14">
        <v>0.55000000000000004</v>
      </c>
    </row>
    <row r="10" spans="1:9" x14ac:dyDescent="0.35">
      <c r="A10" s="26" t="s">
        <v>54</v>
      </c>
      <c r="B10" s="25">
        <v>20</v>
      </c>
      <c r="C10" s="21">
        <v>505</v>
      </c>
      <c r="D10" s="21">
        <v>260</v>
      </c>
      <c r="E10" s="14">
        <v>0.55000000000000004</v>
      </c>
    </row>
    <row r="11" spans="1:9" x14ac:dyDescent="0.35">
      <c r="A11" s="27" t="s">
        <v>56</v>
      </c>
      <c r="B11" s="25">
        <v>11</v>
      </c>
      <c r="C11" s="21">
        <v>400</v>
      </c>
      <c r="D11" s="21">
        <v>180</v>
      </c>
      <c r="E11" s="39">
        <v>0.62</v>
      </c>
    </row>
    <row r="13" spans="1:9" x14ac:dyDescent="0.35">
      <c r="A13" s="1" t="s">
        <v>464</v>
      </c>
      <c r="B13" s="1"/>
      <c r="C13" s="1"/>
      <c r="D13" s="1"/>
      <c r="E13" s="1"/>
      <c r="F13" s="1"/>
      <c r="G13" s="1"/>
      <c r="H13" s="1"/>
      <c r="I13" s="1"/>
    </row>
    <row r="14" spans="1:9" x14ac:dyDescent="0.35">
      <c r="A14" s="1"/>
      <c r="B14" s="1"/>
      <c r="C14" s="1"/>
      <c r="D14" s="1"/>
      <c r="E14" s="1"/>
      <c r="F14" s="1"/>
      <c r="G14" s="1"/>
      <c r="H14" s="1"/>
      <c r="I14" s="1"/>
    </row>
    <row r="15" spans="1:9" ht="14.65" customHeight="1" x14ac:dyDescent="0.35">
      <c r="A15" s="708" t="s">
        <v>465</v>
      </c>
      <c r="B15" s="708"/>
      <c r="C15" s="708"/>
      <c r="D15" s="708"/>
      <c r="E15" s="708"/>
      <c r="F15" s="708"/>
      <c r="G15" s="708"/>
      <c r="H15" s="1"/>
      <c r="I15" s="1"/>
    </row>
    <row r="16" spans="1:9" ht="14.65" customHeight="1" x14ac:dyDescent="0.35">
      <c r="A16" s="708"/>
      <c r="B16" s="708"/>
      <c r="C16" s="708"/>
      <c r="D16" s="708"/>
      <c r="E16" s="708"/>
      <c r="F16" s="708"/>
      <c r="G16" s="708"/>
      <c r="H16" s="1"/>
      <c r="I16" s="1"/>
    </row>
    <row r="17" spans="1:9" x14ac:dyDescent="0.35">
      <c r="A17" s="42" t="s">
        <v>213</v>
      </c>
      <c r="B17" s="705" t="s">
        <v>5</v>
      </c>
      <c r="C17" s="705"/>
      <c r="D17" s="705"/>
      <c r="E17" s="1"/>
      <c r="F17" s="1"/>
      <c r="G17" s="1"/>
      <c r="H17" s="1"/>
      <c r="I17" s="1"/>
    </row>
    <row r="18" spans="1:9" x14ac:dyDescent="0.35">
      <c r="A18" s="3" t="s">
        <v>34</v>
      </c>
      <c r="B18" s="4" t="s">
        <v>17</v>
      </c>
      <c r="C18" s="4" t="s">
        <v>217</v>
      </c>
      <c r="D18" s="5" t="s">
        <v>29</v>
      </c>
      <c r="E18" s="1"/>
      <c r="F18" s="1"/>
      <c r="G18" s="1"/>
      <c r="H18" s="1"/>
      <c r="I18" s="1"/>
    </row>
    <row r="19" spans="1:9" x14ac:dyDescent="0.35">
      <c r="A19" s="6" t="s">
        <v>175</v>
      </c>
      <c r="B19" s="7">
        <v>200</v>
      </c>
      <c r="C19" s="7">
        <v>190</v>
      </c>
      <c r="D19" s="8">
        <v>260</v>
      </c>
      <c r="E19" s="1"/>
      <c r="F19" s="1"/>
      <c r="G19" s="1"/>
      <c r="H19" s="1"/>
      <c r="I19" s="1"/>
    </row>
    <row r="20" spans="1:9" x14ac:dyDescent="0.35">
      <c r="A20" s="6" t="s">
        <v>176</v>
      </c>
      <c r="B20" s="7">
        <v>230</v>
      </c>
      <c r="C20" s="7">
        <v>230</v>
      </c>
      <c r="D20" s="8">
        <v>260</v>
      </c>
      <c r="E20" s="1"/>
      <c r="F20" s="1"/>
      <c r="G20" s="1"/>
      <c r="H20" s="1"/>
      <c r="I20" s="1"/>
    </row>
    <row r="21" spans="1:9" x14ac:dyDescent="0.35">
      <c r="A21" s="6" t="s">
        <v>177</v>
      </c>
      <c r="B21" s="7">
        <v>250</v>
      </c>
      <c r="C21" s="7">
        <v>250</v>
      </c>
      <c r="D21" s="8">
        <v>260</v>
      </c>
      <c r="E21" s="1"/>
      <c r="F21" s="1"/>
      <c r="G21" s="1"/>
      <c r="H21" s="1"/>
      <c r="I21" s="1"/>
    </row>
    <row r="22" spans="1:9" x14ac:dyDescent="0.35">
      <c r="A22" s="6" t="s">
        <v>41</v>
      </c>
      <c r="B22" s="7">
        <v>278</v>
      </c>
      <c r="C22" s="7">
        <v>240</v>
      </c>
      <c r="D22" s="8">
        <v>260</v>
      </c>
      <c r="E22" s="1"/>
      <c r="F22" s="1"/>
      <c r="G22" s="1"/>
      <c r="H22" s="1"/>
      <c r="I22" s="1"/>
    </row>
    <row r="23" spans="1:9" x14ac:dyDescent="0.35">
      <c r="A23" s="6" t="s">
        <v>43</v>
      </c>
      <c r="B23" s="7">
        <v>278</v>
      </c>
      <c r="C23" s="7">
        <v>240</v>
      </c>
      <c r="D23" s="8">
        <v>260</v>
      </c>
      <c r="E23" s="1"/>
      <c r="F23" s="1"/>
      <c r="G23" s="1"/>
      <c r="H23" s="1"/>
      <c r="I23" s="1"/>
    </row>
    <row r="24" spans="1:9" x14ac:dyDescent="0.35">
      <c r="A24" s="6" t="s">
        <v>46</v>
      </c>
      <c r="B24" s="7">
        <v>278</v>
      </c>
      <c r="C24" s="7">
        <v>240</v>
      </c>
      <c r="D24" s="8">
        <v>260</v>
      </c>
      <c r="E24" s="1"/>
      <c r="F24" s="1"/>
      <c r="G24" s="1"/>
      <c r="H24" s="1"/>
      <c r="I24" s="1"/>
    </row>
    <row r="25" spans="1:9" x14ac:dyDescent="0.35">
      <c r="A25" s="6" t="s">
        <v>48</v>
      </c>
      <c r="B25" s="7">
        <v>278</v>
      </c>
      <c r="C25" s="7">
        <v>240</v>
      </c>
      <c r="D25" s="8">
        <v>260</v>
      </c>
      <c r="E25" s="1"/>
      <c r="F25" s="1"/>
      <c r="G25" s="1"/>
      <c r="H25" s="1"/>
      <c r="I25" s="1"/>
    </row>
    <row r="26" spans="1:9" ht="15" thickBot="1" x14ac:dyDescent="0.4">
      <c r="A26" s="9" t="s">
        <v>56</v>
      </c>
      <c r="B26" s="10">
        <v>210</v>
      </c>
      <c r="C26" s="10">
        <v>180</v>
      </c>
      <c r="D26" s="11">
        <v>200</v>
      </c>
      <c r="E26" s="1"/>
      <c r="F26" s="1"/>
      <c r="G26" s="1"/>
      <c r="H26" s="1"/>
      <c r="I26" s="1"/>
    </row>
    <row r="27" spans="1:9" ht="14.65" customHeight="1" thickBot="1" x14ac:dyDescent="0.4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35">
      <c r="A28" s="2" t="s">
        <v>466</v>
      </c>
      <c r="B28" s="706" t="s">
        <v>5</v>
      </c>
      <c r="C28" s="706"/>
      <c r="D28" s="706"/>
      <c r="E28" s="706"/>
      <c r="F28" s="706"/>
      <c r="G28" s="706"/>
      <c r="H28" s="1" t="s">
        <v>467</v>
      </c>
      <c r="I28" s="1"/>
    </row>
    <row r="29" spans="1:9" x14ac:dyDescent="0.35">
      <c r="A29" s="3" t="s">
        <v>34</v>
      </c>
      <c r="B29" s="4" t="s">
        <v>17</v>
      </c>
      <c r="C29" s="4" t="s">
        <v>214</v>
      </c>
      <c r="D29" s="4" t="s">
        <v>217</v>
      </c>
      <c r="E29" s="12" t="s">
        <v>214</v>
      </c>
      <c r="F29" s="4" t="s">
        <v>29</v>
      </c>
      <c r="G29" s="5" t="s">
        <v>214</v>
      </c>
      <c r="H29" s="1"/>
      <c r="I29" s="1"/>
    </row>
    <row r="30" spans="1:9" x14ac:dyDescent="0.35">
      <c r="A30" s="6" t="s">
        <v>175</v>
      </c>
      <c r="B30" s="13">
        <v>2</v>
      </c>
      <c r="C30" s="14">
        <v>0.6</v>
      </c>
      <c r="D30" s="13">
        <v>6</v>
      </c>
      <c r="E30" s="14">
        <v>0.9</v>
      </c>
      <c r="F30" s="13">
        <v>9</v>
      </c>
      <c r="G30" s="15">
        <v>0.7</v>
      </c>
      <c r="H30" s="1"/>
      <c r="I30" s="1"/>
    </row>
    <row r="31" spans="1:9" x14ac:dyDescent="0.35">
      <c r="A31" s="6" t="s">
        <v>176</v>
      </c>
      <c r="B31" s="13">
        <v>6</v>
      </c>
      <c r="C31" s="14">
        <v>0.5</v>
      </c>
      <c r="D31" s="13">
        <v>10</v>
      </c>
      <c r="E31" s="14">
        <v>0.6</v>
      </c>
      <c r="F31" s="13">
        <v>6</v>
      </c>
      <c r="G31" s="15">
        <v>0.53</v>
      </c>
      <c r="H31" s="1"/>
      <c r="I31" s="1"/>
    </row>
    <row r="32" spans="1:9" x14ac:dyDescent="0.35">
      <c r="A32" s="6" t="s">
        <v>177</v>
      </c>
      <c r="B32" s="13">
        <v>2</v>
      </c>
      <c r="C32" s="14">
        <v>0.5</v>
      </c>
      <c r="D32" s="13">
        <v>9</v>
      </c>
      <c r="E32" s="14">
        <v>0.6</v>
      </c>
      <c r="F32" s="13">
        <v>1</v>
      </c>
      <c r="G32" s="15">
        <v>0.3</v>
      </c>
      <c r="H32" s="1"/>
      <c r="I32" s="1"/>
    </row>
    <row r="33" spans="1:9" x14ac:dyDescent="0.35">
      <c r="A33" s="6" t="s">
        <v>41</v>
      </c>
      <c r="B33" s="13">
        <v>20</v>
      </c>
      <c r="C33" s="14">
        <v>0.8</v>
      </c>
      <c r="D33" s="13">
        <v>3</v>
      </c>
      <c r="E33" s="14">
        <v>0.8</v>
      </c>
      <c r="F33" s="13">
        <v>6</v>
      </c>
      <c r="G33" s="15">
        <v>0.65</v>
      </c>
      <c r="H33" s="1"/>
      <c r="I33" s="1"/>
    </row>
    <row r="34" spans="1:9" x14ac:dyDescent="0.35">
      <c r="A34" s="6" t="s">
        <v>43</v>
      </c>
      <c r="B34" s="13">
        <v>11</v>
      </c>
      <c r="C34" s="14">
        <v>0.65</v>
      </c>
      <c r="D34" s="13">
        <v>2</v>
      </c>
      <c r="E34" s="14">
        <v>0.7</v>
      </c>
      <c r="F34" s="13">
        <v>9</v>
      </c>
      <c r="G34" s="15">
        <v>0.55000000000000004</v>
      </c>
      <c r="H34" s="1"/>
      <c r="I34" s="1"/>
    </row>
    <row r="35" spans="1:9" x14ac:dyDescent="0.35">
      <c r="A35" s="6" t="s">
        <v>46</v>
      </c>
      <c r="B35" s="13">
        <v>9</v>
      </c>
      <c r="C35" s="14">
        <v>0.7</v>
      </c>
      <c r="D35" s="13">
        <v>0</v>
      </c>
      <c r="E35" s="13"/>
      <c r="F35" s="13">
        <v>6</v>
      </c>
      <c r="G35" s="15">
        <v>0.55000000000000004</v>
      </c>
      <c r="H35" s="1"/>
      <c r="I35" s="1"/>
    </row>
    <row r="36" spans="1:9" x14ac:dyDescent="0.35">
      <c r="A36" s="6" t="s">
        <v>48</v>
      </c>
      <c r="B36" s="13">
        <v>9</v>
      </c>
      <c r="C36" s="14">
        <v>0.55000000000000004</v>
      </c>
      <c r="D36" s="13">
        <v>1</v>
      </c>
      <c r="E36" s="14">
        <v>0.7</v>
      </c>
      <c r="F36" s="13">
        <v>10</v>
      </c>
      <c r="G36" s="15">
        <v>0.7</v>
      </c>
      <c r="H36" s="1"/>
      <c r="I36" s="1"/>
    </row>
    <row r="37" spans="1:9" ht="15" thickBot="1" x14ac:dyDescent="0.4">
      <c r="A37" s="9" t="s">
        <v>56</v>
      </c>
      <c r="B37" s="16">
        <v>3</v>
      </c>
      <c r="C37" s="17">
        <v>0.6</v>
      </c>
      <c r="D37" s="16">
        <v>1</v>
      </c>
      <c r="E37" s="17">
        <v>0.6</v>
      </c>
      <c r="F37" s="16">
        <v>5</v>
      </c>
      <c r="G37" s="18">
        <v>0.62</v>
      </c>
      <c r="H37" s="1"/>
      <c r="I37" s="1"/>
    </row>
    <row r="38" spans="1:9" x14ac:dyDescent="0.35">
      <c r="A38" s="19" t="s">
        <v>468</v>
      </c>
      <c r="B38" s="1">
        <v>200</v>
      </c>
      <c r="C38" s="1"/>
      <c r="D38" s="20">
        <v>42</v>
      </c>
      <c r="E38" s="1"/>
      <c r="F38" s="1">
        <v>132</v>
      </c>
      <c r="G38" s="1"/>
      <c r="H38" s="1"/>
      <c r="I38" s="1"/>
    </row>
    <row r="39" spans="1:9" x14ac:dyDescent="0.35">
      <c r="A39" s="1"/>
      <c r="B39" s="1"/>
      <c r="C39" s="1"/>
      <c r="D39" s="1"/>
      <c r="E39" s="1"/>
      <c r="F39" s="1"/>
      <c r="G39" s="1"/>
      <c r="H39" s="1"/>
      <c r="I39" s="1"/>
    </row>
  </sheetData>
  <mergeCells count="4">
    <mergeCell ref="B17:D17"/>
    <mergeCell ref="B28:G28"/>
    <mergeCell ref="A1:E2"/>
    <mergeCell ref="A15:G1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AE7D6-F443-4480-8E29-6E05B45AD44E}">
  <dimension ref="A1:AA59"/>
  <sheetViews>
    <sheetView topLeftCell="R1" zoomScale="90" zoomScaleNormal="90" workbookViewId="0">
      <selection activeCell="W3" sqref="W3:W26"/>
    </sheetView>
  </sheetViews>
  <sheetFormatPr defaultRowHeight="14.5" x14ac:dyDescent="0.35"/>
  <cols>
    <col min="1" max="1" width="12" customWidth="1"/>
    <col min="2" max="2" width="23.26953125" customWidth="1"/>
    <col min="3" max="3" width="16.54296875" customWidth="1"/>
    <col min="4" max="4" width="13.7265625" customWidth="1"/>
    <col min="5" max="5" width="31.26953125" customWidth="1"/>
    <col min="6" max="6" width="21.7265625" customWidth="1"/>
    <col min="7" max="7" width="26.453125" customWidth="1"/>
    <col min="8" max="8" width="23.26953125" customWidth="1"/>
    <col min="12" max="13" width="26.453125" customWidth="1"/>
    <col min="14" max="14" width="21.54296875" customWidth="1"/>
    <col min="15" max="15" width="33.26953125" customWidth="1"/>
    <col min="16" max="16" width="17.54296875" customWidth="1"/>
    <col min="17" max="17" width="22.54296875" customWidth="1"/>
    <col min="18" max="18" width="20.54296875" customWidth="1"/>
    <col min="19" max="19" width="26.54296875" customWidth="1"/>
    <col min="20" max="20" width="17.7265625" customWidth="1"/>
    <col min="21" max="21" width="32" customWidth="1"/>
    <col min="22" max="22" width="30.26953125" customWidth="1"/>
    <col min="23" max="23" width="25.7265625" customWidth="1"/>
    <col min="24" max="24" width="24.26953125" customWidth="1"/>
    <col min="25" max="25" width="16.7265625" customWidth="1"/>
  </cols>
  <sheetData>
    <row r="1" spans="1:27" x14ac:dyDescent="0.35">
      <c r="A1" s="709" t="s">
        <v>469</v>
      </c>
      <c r="B1" s="709"/>
      <c r="C1" s="709"/>
      <c r="D1" s="709"/>
      <c r="E1" s="709"/>
      <c r="F1" s="709"/>
      <c r="G1" s="709"/>
      <c r="H1" s="709"/>
      <c r="K1" s="709" t="s">
        <v>164</v>
      </c>
      <c r="L1" s="709"/>
      <c r="M1" s="709"/>
      <c r="N1" s="709"/>
      <c r="O1" s="709"/>
      <c r="P1" s="709"/>
      <c r="Q1" s="709"/>
      <c r="R1" s="709"/>
      <c r="T1" s="709" t="s">
        <v>470</v>
      </c>
      <c r="U1" s="709"/>
      <c r="V1" s="709"/>
      <c r="W1" s="709"/>
      <c r="X1" s="709"/>
      <c r="Y1" s="709"/>
      <c r="Z1" s="709"/>
      <c r="AA1" s="709"/>
    </row>
    <row r="2" spans="1:27" x14ac:dyDescent="0.35">
      <c r="A2" s="94" t="s">
        <v>303</v>
      </c>
      <c r="B2" s="95" t="s">
        <v>471</v>
      </c>
      <c r="C2" s="95" t="s">
        <v>472</v>
      </c>
      <c r="D2" s="78" t="s">
        <v>473</v>
      </c>
      <c r="E2" s="78" t="s">
        <v>474</v>
      </c>
      <c r="F2" s="78" t="s">
        <v>475</v>
      </c>
      <c r="G2" s="78" t="s">
        <v>476</v>
      </c>
      <c r="H2" s="78" t="s">
        <v>477</v>
      </c>
      <c r="K2" s="94" t="s">
        <v>303</v>
      </c>
      <c r="L2" s="95" t="s">
        <v>478</v>
      </c>
      <c r="M2" t="s">
        <v>479</v>
      </c>
      <c r="N2" s="78" t="s">
        <v>473</v>
      </c>
      <c r="O2" s="78" t="s">
        <v>474</v>
      </c>
      <c r="P2" s="78" t="s">
        <v>475</v>
      </c>
      <c r="Q2" s="78" t="s">
        <v>476</v>
      </c>
      <c r="R2" s="78" t="s">
        <v>477</v>
      </c>
      <c r="S2" s="78"/>
      <c r="T2" s="94" t="s">
        <v>303</v>
      </c>
      <c r="U2" t="s">
        <v>480</v>
      </c>
      <c r="V2" t="s">
        <v>481</v>
      </c>
      <c r="W2" t="s">
        <v>482</v>
      </c>
      <c r="X2" s="78" t="s">
        <v>474</v>
      </c>
      <c r="Y2" s="78" t="s">
        <v>475</v>
      </c>
      <c r="Z2" s="78" t="s">
        <v>476</v>
      </c>
      <c r="AA2" s="78" t="s">
        <v>477</v>
      </c>
    </row>
    <row r="3" spans="1:27" x14ac:dyDescent="0.35">
      <c r="A3" s="96">
        <v>44197</v>
      </c>
      <c r="B3" s="97">
        <v>30</v>
      </c>
      <c r="C3" s="94">
        <v>100</v>
      </c>
      <c r="D3" s="94">
        <v>3.3254809983660101E-2</v>
      </c>
      <c r="E3" s="81">
        <f>D3*C3</f>
        <v>3.3254809983660101</v>
      </c>
      <c r="F3" s="82">
        <f t="shared" ref="F3:F13" si="0">IFERROR(B3/E3,0)</f>
        <v>9.0212513662657017</v>
      </c>
      <c r="G3" s="83">
        <f>E3*240</f>
        <v>798.1154396078424</v>
      </c>
      <c r="H3" s="85">
        <f>(G3-B3)/B3</f>
        <v>25.603847986928081</v>
      </c>
      <c r="K3" s="96">
        <v>44197</v>
      </c>
      <c r="L3" s="84">
        <v>15.356144872741799</v>
      </c>
      <c r="M3" s="99">
        <v>90.371421918787703</v>
      </c>
      <c r="N3">
        <v>4.68363943554157E-2</v>
      </c>
      <c r="O3" s="81">
        <f t="shared" ref="O3:O26" si="1">N3*M3</f>
        <v>4.2326715554479994</v>
      </c>
      <c r="P3" s="84">
        <f>L3/O3</f>
        <v>3.6280029460297816</v>
      </c>
      <c r="Q3" s="99">
        <f>O3*240</f>
        <v>1015.8411733075199</v>
      </c>
      <c r="R3" s="85">
        <f>(Q3-L3)/L3</f>
        <v>65.15209622766109</v>
      </c>
      <c r="S3" s="78"/>
      <c r="T3" s="96">
        <v>44197</v>
      </c>
      <c r="U3" s="83">
        <v>18.698869352898399</v>
      </c>
      <c r="V3" s="99">
        <v>76.355196128381905</v>
      </c>
      <c r="W3">
        <v>2.83455779784514E-2</v>
      </c>
      <c r="X3" s="81">
        <f t="shared" ref="X3:X26" si="2">W3*V3</f>
        <v>2.1643321659169996</v>
      </c>
      <c r="Y3" s="84">
        <f>U3/X3</f>
        <v>8.6395561861346408</v>
      </c>
      <c r="Z3" s="99">
        <f>X3*240</f>
        <v>519.43971982007986</v>
      </c>
      <c r="AA3" s="85">
        <f>(Z3-U3)/U3</f>
        <v>26.779204721785206</v>
      </c>
    </row>
    <row r="4" spans="1:27" x14ac:dyDescent="0.35">
      <c r="A4" s="96">
        <v>44228</v>
      </c>
      <c r="B4" s="97">
        <v>0</v>
      </c>
      <c r="C4" s="94">
        <v>100</v>
      </c>
      <c r="D4" s="94">
        <v>2.67994628952994E-2</v>
      </c>
      <c r="E4" s="81">
        <f t="shared" ref="E4:E26" si="3">D4*C4</f>
        <v>2.6799462895299402</v>
      </c>
      <c r="F4" s="82">
        <f t="shared" si="0"/>
        <v>0</v>
      </c>
      <c r="G4" s="83">
        <f t="shared" ref="G4:G5" si="4">E4*240</f>
        <v>643.18710948718569</v>
      </c>
      <c r="H4" s="85">
        <f>IFERROR((G4-B4)/B4,0)</f>
        <v>0</v>
      </c>
      <c r="K4" s="96">
        <v>44228</v>
      </c>
      <c r="L4" s="84">
        <v>38.9792865628065</v>
      </c>
      <c r="M4" s="99">
        <v>295.1109165262767</v>
      </c>
      <c r="N4">
        <v>4.1365417080398703E-2</v>
      </c>
      <c r="O4" s="81">
        <f t="shared" si="1"/>
        <v>12.207386147088162</v>
      </c>
      <c r="P4" s="84">
        <f t="shared" ref="P4:P26" si="5">L4/O4</f>
        <v>3.1930903219690698</v>
      </c>
      <c r="Q4" s="99">
        <f t="shared" ref="Q4:Q26" si="6">O4*240</f>
        <v>2929.7726753011589</v>
      </c>
      <c r="R4" s="85">
        <f t="shared" ref="R4:R26" si="7">(Q4-L4)/L4</f>
        <v>74.162296020489705</v>
      </c>
      <c r="S4" s="78"/>
      <c r="T4" s="96">
        <v>44228</v>
      </c>
      <c r="U4" s="83">
        <v>22.192214417113501</v>
      </c>
      <c r="V4" s="99">
        <v>278.65667789144993</v>
      </c>
      <c r="W4">
        <v>3.6635853150282999E-3</v>
      </c>
      <c r="X4" s="81">
        <f t="shared" si="2"/>
        <v>1.0208825130576871</v>
      </c>
      <c r="Y4" s="84">
        <f t="shared" ref="Y4:Y26" si="8">U4/X4</f>
        <v>21.738264818196061</v>
      </c>
      <c r="Z4" s="99">
        <f t="shared" ref="Z4:Z26" si="9">X4*240</f>
        <v>245.01180313384489</v>
      </c>
      <c r="AA4" s="85">
        <f t="shared" ref="AA4:AA26" si="10">(Z4-U4)/U4</f>
        <v>10.040439612231951</v>
      </c>
    </row>
    <row r="5" spans="1:27" x14ac:dyDescent="0.35">
      <c r="A5" s="96">
        <v>44256</v>
      </c>
      <c r="B5" s="97">
        <v>0</v>
      </c>
      <c r="C5" s="94">
        <v>100</v>
      </c>
      <c r="D5" s="94">
        <v>3.6785956564500497E-2</v>
      </c>
      <c r="E5" s="81">
        <f t="shared" si="3"/>
        <v>3.6785956564500495</v>
      </c>
      <c r="F5" s="82">
        <f t="shared" si="0"/>
        <v>0</v>
      </c>
      <c r="G5" s="83">
        <f t="shared" si="4"/>
        <v>882.86295754801188</v>
      </c>
      <c r="H5" s="85">
        <f t="shared" ref="H5:H25" si="11">IFERROR((G5-B5)/B5,0)</f>
        <v>0</v>
      </c>
      <c r="K5" s="96">
        <v>44256</v>
      </c>
      <c r="L5" s="84">
        <v>30.011751614267599</v>
      </c>
      <c r="M5" s="99">
        <v>482.09300359738472</v>
      </c>
      <c r="N5">
        <v>3.3503169042969003E-2</v>
      </c>
      <c r="O5" s="81">
        <f t="shared" si="1"/>
        <v>16.151643393955844</v>
      </c>
      <c r="P5" s="84">
        <f t="shared" si="5"/>
        <v>1.8581237142406444</v>
      </c>
      <c r="Q5" s="99">
        <f t="shared" si="6"/>
        <v>3876.3944145494024</v>
      </c>
      <c r="R5" s="85">
        <f t="shared" si="7"/>
        <v>128.16255153553126</v>
      </c>
      <c r="S5" s="78"/>
      <c r="T5" s="96">
        <v>44256</v>
      </c>
      <c r="U5" s="83">
        <v>8.1866250684927397</v>
      </c>
      <c r="V5" s="99">
        <v>441.77551081579691</v>
      </c>
      <c r="W5">
        <v>2.1363332107068199E-3</v>
      </c>
      <c r="X5" s="81">
        <f t="shared" si="2"/>
        <v>0.94377969543275686</v>
      </c>
      <c r="Y5" s="84">
        <f t="shared" si="8"/>
        <v>8.6742966691383181</v>
      </c>
      <c r="Z5" s="99">
        <f t="shared" si="9"/>
        <v>226.50712690386166</v>
      </c>
      <c r="AA5" s="85">
        <f t="shared" si="10"/>
        <v>26.667949247560262</v>
      </c>
    </row>
    <row r="6" spans="1:27" x14ac:dyDescent="0.35">
      <c r="A6" s="96">
        <v>44287</v>
      </c>
      <c r="B6" s="97">
        <v>72</v>
      </c>
      <c r="C6" s="94">
        <v>273</v>
      </c>
      <c r="D6" s="94">
        <v>3.0547150692261601E-2</v>
      </c>
      <c r="E6" s="81">
        <f t="shared" si="3"/>
        <v>8.3393721389874162</v>
      </c>
      <c r="F6" s="82">
        <f t="shared" si="0"/>
        <v>8.6337435001122742</v>
      </c>
      <c r="G6" s="83">
        <f>E6*240</f>
        <v>2001.4493133569799</v>
      </c>
      <c r="H6" s="85">
        <f t="shared" si="11"/>
        <v>26.797907129958055</v>
      </c>
      <c r="K6" s="96">
        <v>44287</v>
      </c>
      <c r="L6" s="84">
        <v>24.544997852078499</v>
      </c>
      <c r="M6" s="99">
        <v>613.38640691727574</v>
      </c>
      <c r="N6">
        <v>4.4215726558447296E-3</v>
      </c>
      <c r="O6" s="81">
        <f t="shared" si="1"/>
        <v>2.7121325642922747</v>
      </c>
      <c r="P6" s="84">
        <f t="shared" si="5"/>
        <v>9.050073058830538</v>
      </c>
      <c r="Q6" s="99">
        <f t="shared" si="6"/>
        <v>650.91181543014591</v>
      </c>
      <c r="R6" s="85">
        <f t="shared" si="7"/>
        <v>25.519122933026697</v>
      </c>
      <c r="S6" s="78"/>
      <c r="T6" s="96">
        <v>44287</v>
      </c>
      <c r="U6" s="83">
        <v>21.083611974958</v>
      </c>
      <c r="V6" s="99">
        <v>788.23563342245984</v>
      </c>
      <c r="W6">
        <v>1.8730193722443201E-3</v>
      </c>
      <c r="X6" s="81">
        <f t="shared" si="2"/>
        <v>1.4763806112935398</v>
      </c>
      <c r="Y6" s="84">
        <f t="shared" si="8"/>
        <v>14.280607462384287</v>
      </c>
      <c r="Z6" s="99">
        <f t="shared" si="9"/>
        <v>354.33134671044957</v>
      </c>
      <c r="AA6" s="85">
        <f t="shared" si="10"/>
        <v>15.806007771880152</v>
      </c>
    </row>
    <row r="7" spans="1:27" x14ac:dyDescent="0.35">
      <c r="A7" s="96">
        <v>44317</v>
      </c>
      <c r="B7" s="97">
        <v>0</v>
      </c>
      <c r="C7" s="94">
        <v>273</v>
      </c>
      <c r="D7" s="94">
        <v>4.4537798052337402E-2</v>
      </c>
      <c r="E7" s="81">
        <f t="shared" si="3"/>
        <v>12.15881886828811</v>
      </c>
      <c r="F7" s="82">
        <f t="shared" si="0"/>
        <v>0</v>
      </c>
      <c r="G7" s="83">
        <f t="shared" ref="G7:G18" si="12">E7*240</f>
        <v>2918.1165283891464</v>
      </c>
      <c r="H7" s="85">
        <f t="shared" si="11"/>
        <v>0</v>
      </c>
      <c r="K7" s="96">
        <v>44317</v>
      </c>
      <c r="L7" s="84">
        <v>6.39676425813989</v>
      </c>
      <c r="M7" s="99">
        <v>639.58781408856316</v>
      </c>
      <c r="N7">
        <v>5.1165243460460103E-3</v>
      </c>
      <c r="O7" s="81">
        <f t="shared" si="1"/>
        <v>3.2724666222184831</v>
      </c>
      <c r="P7" s="84">
        <f t="shared" si="5"/>
        <v>1.9547225370333559</v>
      </c>
      <c r="Q7" s="99">
        <f t="shared" si="6"/>
        <v>785.39198933243597</v>
      </c>
      <c r="R7" s="85">
        <f t="shared" si="7"/>
        <v>121.77957380296198</v>
      </c>
      <c r="S7" s="78"/>
      <c r="T7" s="96">
        <v>44317</v>
      </c>
      <c r="U7" s="83">
        <v>24.2889973233437</v>
      </c>
      <c r="V7" s="99">
        <v>1023.9245944978638</v>
      </c>
      <c r="W7">
        <v>2.8310128272394999E-3</v>
      </c>
      <c r="X7" s="81">
        <f t="shared" si="2"/>
        <v>2.8987436611494561</v>
      </c>
      <c r="Y7" s="84">
        <f t="shared" si="8"/>
        <v>8.379146334626995</v>
      </c>
      <c r="Z7" s="99">
        <f t="shared" si="9"/>
        <v>695.69847867586952</v>
      </c>
      <c r="AA7" s="85">
        <f t="shared" si="10"/>
        <v>27.642535935694916</v>
      </c>
    </row>
    <row r="8" spans="1:27" x14ac:dyDescent="0.35">
      <c r="A8" s="96">
        <v>44348</v>
      </c>
      <c r="B8" s="97">
        <v>48</v>
      </c>
      <c r="C8" s="94">
        <v>480</v>
      </c>
      <c r="D8" s="94">
        <v>1.55238755620184E-2</v>
      </c>
      <c r="E8" s="81">
        <f t="shared" si="3"/>
        <v>7.4514602697688321</v>
      </c>
      <c r="F8" s="82">
        <f t="shared" si="0"/>
        <v>6.4416903884920149</v>
      </c>
      <c r="G8" s="83">
        <f t="shared" si="12"/>
        <v>1788.3504647445197</v>
      </c>
      <c r="H8" s="85">
        <f t="shared" si="11"/>
        <v>36.257301348844159</v>
      </c>
      <c r="K8" s="96">
        <v>44348</v>
      </c>
      <c r="L8" s="84">
        <v>6.3957753337843002</v>
      </c>
      <c r="M8" s="99">
        <v>656.5115059780203</v>
      </c>
      <c r="N8">
        <v>1.33956526498716E-2</v>
      </c>
      <c r="O8" s="81">
        <f t="shared" si="1"/>
        <v>8.7944000947256633</v>
      </c>
      <c r="P8" s="84">
        <f t="shared" si="5"/>
        <v>0.72725544265607045</v>
      </c>
      <c r="Q8" s="99">
        <f t="shared" si="6"/>
        <v>2110.6560227341593</v>
      </c>
      <c r="R8" s="85">
        <f t="shared" si="7"/>
        <v>329.00784308120939</v>
      </c>
      <c r="S8" s="78"/>
      <c r="T8" s="96">
        <v>44348</v>
      </c>
      <c r="U8" s="83">
        <v>1.9044669215198999</v>
      </c>
      <c r="V8" s="99">
        <v>1143.3225535022648</v>
      </c>
      <c r="W8">
        <v>1.6330203312141299E-3</v>
      </c>
      <c r="X8" s="81">
        <f t="shared" si="2"/>
        <v>1.8670689750048532</v>
      </c>
      <c r="Y8" s="84">
        <f t="shared" si="8"/>
        <v>1.0200302972282798</v>
      </c>
      <c r="Z8" s="99">
        <f t="shared" si="9"/>
        <v>448.0965540011648</v>
      </c>
      <c r="AA8" s="85">
        <f t="shared" si="10"/>
        <v>234.28712887465218</v>
      </c>
    </row>
    <row r="9" spans="1:27" x14ac:dyDescent="0.35">
      <c r="A9" s="96">
        <v>44378</v>
      </c>
      <c r="B9" s="97">
        <v>0</v>
      </c>
      <c r="C9" s="94">
        <v>480</v>
      </c>
      <c r="D9" s="94">
        <v>7.2172346573700199E-3</v>
      </c>
      <c r="E9" s="81">
        <f t="shared" si="3"/>
        <v>3.4642726355376094</v>
      </c>
      <c r="F9" s="82">
        <f t="shared" si="0"/>
        <v>0</v>
      </c>
      <c r="G9" s="83">
        <f t="shared" si="12"/>
        <v>831.42543252902624</v>
      </c>
      <c r="H9" s="85">
        <f t="shared" si="11"/>
        <v>0</v>
      </c>
      <c r="K9" s="96">
        <v>44378</v>
      </c>
      <c r="L9" s="84">
        <v>2.38142809889617</v>
      </c>
      <c r="M9" s="99">
        <v>656.5115059780203</v>
      </c>
      <c r="N9">
        <v>9.5165154932049002E-3</v>
      </c>
      <c r="O9" s="81">
        <f t="shared" si="1"/>
        <v>6.2477019181071114</v>
      </c>
      <c r="P9" s="84">
        <f t="shared" si="5"/>
        <v>0.38116864890661745</v>
      </c>
      <c r="Q9" s="99">
        <f t="shared" si="6"/>
        <v>1499.4484603457067</v>
      </c>
      <c r="R9" s="85">
        <f t="shared" si="7"/>
        <v>628.64254979637019</v>
      </c>
      <c r="S9" s="78"/>
      <c r="T9" s="96">
        <v>44378</v>
      </c>
      <c r="U9" s="83">
        <v>24.909338927958899</v>
      </c>
      <c r="V9" s="99">
        <v>1428.5795452866178</v>
      </c>
      <c r="W9">
        <v>2.7376182765157298E-3</v>
      </c>
      <c r="X9" s="81">
        <f t="shared" si="2"/>
        <v>3.9109054726331753</v>
      </c>
      <c r="Y9" s="84">
        <f t="shared" si="8"/>
        <v>6.36919994672939</v>
      </c>
      <c r="Z9" s="99">
        <f t="shared" si="9"/>
        <v>938.61731343196209</v>
      </c>
      <c r="AA9" s="85">
        <f t="shared" si="10"/>
        <v>36.681341770914415</v>
      </c>
    </row>
    <row r="10" spans="1:27" x14ac:dyDescent="0.35">
      <c r="A10" s="96">
        <v>44409</v>
      </c>
      <c r="B10" s="97">
        <v>6.04</v>
      </c>
      <c r="C10" s="94">
        <v>503</v>
      </c>
      <c r="D10" s="94">
        <v>1.7073716121500999E-2</v>
      </c>
      <c r="E10" s="81">
        <f t="shared" si="3"/>
        <v>8.5880792091150031</v>
      </c>
      <c r="F10" s="82">
        <f t="shared" si="0"/>
        <v>0.70330045321303214</v>
      </c>
      <c r="G10" s="83">
        <f t="shared" si="12"/>
        <v>2061.1390101876009</v>
      </c>
      <c r="H10" s="85">
        <f t="shared" si="11"/>
        <v>340.2481804946359</v>
      </c>
      <c r="K10" s="96">
        <v>44409</v>
      </c>
      <c r="L10" s="84">
        <v>35.5132219767723</v>
      </c>
      <c r="M10" s="99">
        <v>798.08540544214634</v>
      </c>
      <c r="N10">
        <v>7.9270400886204198E-3</v>
      </c>
      <c r="O10" s="81">
        <f t="shared" si="1"/>
        <v>6.3264550030827751</v>
      </c>
      <c r="P10" s="84">
        <f t="shared" si="5"/>
        <v>5.6134473349557226</v>
      </c>
      <c r="Q10" s="99">
        <f t="shared" si="6"/>
        <v>1518.3492007398661</v>
      </c>
      <c r="R10" s="85">
        <f t="shared" si="7"/>
        <v>41.754476114078138</v>
      </c>
      <c r="S10" s="78"/>
      <c r="T10" s="96">
        <v>44409</v>
      </c>
      <c r="U10" s="83">
        <v>6.9914890711789504</v>
      </c>
      <c r="V10" s="99">
        <v>1433.9824605378949</v>
      </c>
      <c r="W10">
        <v>1.8539523941754599E-3</v>
      </c>
      <c r="X10" s="81">
        <f t="shared" si="2"/>
        <v>2.6585352159198474</v>
      </c>
      <c r="Y10" s="84">
        <f t="shared" si="8"/>
        <v>2.6298275190460134</v>
      </c>
      <c r="Z10" s="99">
        <f t="shared" si="9"/>
        <v>638.04845182076338</v>
      </c>
      <c r="AA10" s="85">
        <f t="shared" si="10"/>
        <v>90.26073792362682</v>
      </c>
    </row>
    <row r="11" spans="1:27" x14ac:dyDescent="0.35">
      <c r="A11" s="96">
        <v>44440</v>
      </c>
      <c r="B11" s="97">
        <v>133.96</v>
      </c>
      <c r="C11" s="94">
        <v>775</v>
      </c>
      <c r="D11" s="94">
        <v>8.9014740668310992E-3</v>
      </c>
      <c r="E11" s="81">
        <f t="shared" si="3"/>
        <v>6.8986424017941017</v>
      </c>
      <c r="F11" s="82">
        <f t="shared" si="0"/>
        <v>19.418313372086306</v>
      </c>
      <c r="G11" s="83">
        <f t="shared" si="12"/>
        <v>1655.6741764305843</v>
      </c>
      <c r="H11" s="85">
        <f t="shared" si="11"/>
        <v>11.35946682913246</v>
      </c>
      <c r="I11" s="86"/>
      <c r="K11" s="96">
        <v>44440</v>
      </c>
      <c r="L11" s="84">
        <v>24.645715481471498</v>
      </c>
      <c r="M11" s="99">
        <v>898.28204430151436</v>
      </c>
      <c r="N11">
        <v>3.1334806982382798E-3</v>
      </c>
      <c r="O11" s="81">
        <f t="shared" si="1"/>
        <v>2.8147494473928187</v>
      </c>
      <c r="P11" s="84">
        <f t="shared" si="5"/>
        <v>8.7559180460270678</v>
      </c>
      <c r="Q11" s="99">
        <f t="shared" si="6"/>
        <v>675.53986737427647</v>
      </c>
      <c r="R11" s="85">
        <f t="shared" si="7"/>
        <v>26.4100327045544</v>
      </c>
      <c r="S11" s="78"/>
      <c r="T11" s="96">
        <v>44440</v>
      </c>
      <c r="U11" s="83">
        <v>2.6671153123964602</v>
      </c>
      <c r="V11" s="99">
        <v>1496.7931742127007</v>
      </c>
      <c r="W11">
        <v>1.7817822246986E-3</v>
      </c>
      <c r="X11" s="81">
        <f t="shared" si="2"/>
        <v>2.666959471862385</v>
      </c>
      <c r="Y11" s="84">
        <f t="shared" si="8"/>
        <v>1.0000584337841347</v>
      </c>
      <c r="Z11" s="99">
        <f t="shared" si="9"/>
        <v>640.07027324697242</v>
      </c>
      <c r="AA11" s="85">
        <f t="shared" si="10"/>
        <v>238.98597671124145</v>
      </c>
    </row>
    <row r="12" spans="1:27" x14ac:dyDescent="0.35">
      <c r="A12" s="96">
        <v>44470</v>
      </c>
      <c r="B12" s="97">
        <v>78</v>
      </c>
      <c r="C12" s="94">
        <v>831</v>
      </c>
      <c r="D12" s="94">
        <v>2.0711643771544001E-3</v>
      </c>
      <c r="E12" s="81">
        <f t="shared" si="3"/>
        <v>1.7211375974153065</v>
      </c>
      <c r="F12" s="82">
        <f t="shared" si="0"/>
        <v>45.318863591810079</v>
      </c>
      <c r="G12" s="83">
        <f t="shared" si="12"/>
        <v>413.07302337967354</v>
      </c>
      <c r="H12" s="85">
        <f t="shared" si="11"/>
        <v>4.2958079920470968</v>
      </c>
      <c r="K12" s="96">
        <v>44470</v>
      </c>
      <c r="L12" s="84">
        <v>29.030975689637799</v>
      </c>
      <c r="M12" s="99">
        <v>1096.2930340606495</v>
      </c>
      <c r="N12">
        <v>9.5324108496557206E-3</v>
      </c>
      <c r="O12" s="81">
        <f t="shared" si="1"/>
        <v>10.450315612281724</v>
      </c>
      <c r="P12" s="84">
        <f t="shared" si="5"/>
        <v>2.7779998965312753</v>
      </c>
      <c r="Q12" s="99">
        <f t="shared" si="6"/>
        <v>2508.0757469476139</v>
      </c>
      <c r="R12" s="85">
        <f t="shared" si="7"/>
        <v>85.393091770692251</v>
      </c>
      <c r="S12" s="78"/>
      <c r="T12" s="96">
        <v>44470</v>
      </c>
      <c r="U12" s="83">
        <v>28.904307027386601</v>
      </c>
      <c r="V12" s="99">
        <v>2039.6399011331637</v>
      </c>
      <c r="W12">
        <v>6.6599126309539703E-4</v>
      </c>
      <c r="X12" s="81">
        <f t="shared" si="2"/>
        <v>1.3583823540154465</v>
      </c>
      <c r="Y12" s="84">
        <f t="shared" si="8"/>
        <v>21.278476521683324</v>
      </c>
      <c r="Z12" s="99">
        <f t="shared" si="9"/>
        <v>326.01176496370715</v>
      </c>
      <c r="AA12" s="85">
        <f t="shared" si="10"/>
        <v>10.279002975397875</v>
      </c>
    </row>
    <row r="13" spans="1:27" x14ac:dyDescent="0.35">
      <c r="A13" s="96">
        <v>44501</v>
      </c>
      <c r="B13" s="97">
        <v>96.37</v>
      </c>
      <c r="C13" s="94">
        <v>980</v>
      </c>
      <c r="D13" s="94">
        <v>4.8670359012936704E-3</v>
      </c>
      <c r="E13" s="81">
        <f t="shared" si="3"/>
        <v>4.769695183267797</v>
      </c>
      <c r="F13" s="82">
        <f t="shared" si="0"/>
        <v>20.20464543270359</v>
      </c>
      <c r="G13" s="83">
        <f t="shared" si="12"/>
        <v>1144.7268439842712</v>
      </c>
      <c r="H13" s="85">
        <f t="shared" si="11"/>
        <v>10.878456407432511</v>
      </c>
      <c r="K13" s="96">
        <v>44501</v>
      </c>
      <c r="L13" s="84">
        <v>0.84396426612789999</v>
      </c>
      <c r="M13" s="99">
        <v>1117.693769869712</v>
      </c>
      <c r="N13">
        <v>9.9310156373733794E-3</v>
      </c>
      <c r="O13" s="81">
        <f t="shared" si="1"/>
        <v>11.099834306370914</v>
      </c>
      <c r="P13" s="84">
        <f t="shared" si="5"/>
        <v>7.6033951753990983E-2</v>
      </c>
      <c r="Q13" s="99">
        <f t="shared" si="6"/>
        <v>2663.9602335290192</v>
      </c>
      <c r="R13" s="85">
        <f t="shared" si="7"/>
        <v>3155.4846290841715</v>
      </c>
      <c r="S13" s="78"/>
      <c r="T13" s="96">
        <v>44501</v>
      </c>
      <c r="U13" s="83">
        <v>10.5909133560569</v>
      </c>
      <c r="V13" s="99">
        <v>2431.9664307827379</v>
      </c>
      <c r="W13">
        <v>3.2430395029095299E-4</v>
      </c>
      <c r="X13" s="81">
        <f t="shared" si="2"/>
        <v>0.78869632047783134</v>
      </c>
      <c r="Y13" s="84">
        <f t="shared" si="8"/>
        <v>13.428379315425738</v>
      </c>
      <c r="Z13" s="99">
        <f t="shared" si="9"/>
        <v>189.28711691467953</v>
      </c>
      <c r="AA13" s="85">
        <f t="shared" si="10"/>
        <v>16.872596116219476</v>
      </c>
    </row>
    <row r="14" spans="1:27" x14ac:dyDescent="0.35">
      <c r="A14" s="96">
        <v>44531</v>
      </c>
      <c r="B14" s="97">
        <v>55.88</v>
      </c>
      <c r="C14" s="94">
        <v>984</v>
      </c>
      <c r="D14" s="94">
        <v>3.61469168614239E-3</v>
      </c>
      <c r="E14" s="81">
        <f t="shared" si="3"/>
        <v>3.5568566191641118</v>
      </c>
      <c r="F14" s="82">
        <v>0</v>
      </c>
      <c r="G14" s="83">
        <f t="shared" si="12"/>
        <v>853.64558859938688</v>
      </c>
      <c r="H14" s="85">
        <f t="shared" si="11"/>
        <v>14.276406381520882</v>
      </c>
      <c r="K14" s="96">
        <v>44531</v>
      </c>
      <c r="L14" s="84">
        <v>39.766303938641698</v>
      </c>
      <c r="M14" s="99">
        <v>1228.3732817947839</v>
      </c>
      <c r="N14">
        <v>9.9523366037454503E-3</v>
      </c>
      <c r="O14" s="81">
        <f t="shared" si="1"/>
        <v>12.225184375469153</v>
      </c>
      <c r="P14" s="84">
        <f t="shared" si="5"/>
        <v>3.2528183393647696</v>
      </c>
      <c r="Q14" s="99">
        <f t="shared" si="6"/>
        <v>2934.0442501125967</v>
      </c>
      <c r="R14" s="85">
        <f t="shared" si="7"/>
        <v>72.782171323735426</v>
      </c>
      <c r="S14" s="78"/>
      <c r="T14" s="96">
        <v>44531</v>
      </c>
      <c r="U14" s="83">
        <v>33.1442912727749</v>
      </c>
      <c r="V14" s="99">
        <v>2919.8737090918867</v>
      </c>
      <c r="W14">
        <v>2.7620556045298699E-4</v>
      </c>
      <c r="X14" s="81">
        <f t="shared" si="2"/>
        <v>0.80648535427166645</v>
      </c>
      <c r="Y14" s="84">
        <f t="shared" si="8"/>
        <v>41.097201700218562</v>
      </c>
      <c r="Z14" s="99">
        <f t="shared" si="9"/>
        <v>193.55648502519995</v>
      </c>
      <c r="AA14" s="85">
        <f t="shared" si="10"/>
        <v>4.8398136629999229</v>
      </c>
    </row>
    <row r="15" spans="1:27" x14ac:dyDescent="0.35">
      <c r="A15" s="96">
        <v>44562</v>
      </c>
      <c r="B15" s="97">
        <v>120.86</v>
      </c>
      <c r="C15" s="94">
        <v>1315</v>
      </c>
      <c r="D15" s="94">
        <v>3.4807382739741699E-3</v>
      </c>
      <c r="E15" s="81">
        <f t="shared" si="3"/>
        <v>4.5771708302760334</v>
      </c>
      <c r="F15" s="82">
        <f t="shared" ref="F15:F26" si="13">IFERROR(B15/E15,0)</f>
        <v>26.404957228286658</v>
      </c>
      <c r="G15" s="83">
        <f t="shared" si="12"/>
        <v>1098.5209992662481</v>
      </c>
      <c r="H15" s="85">
        <f t="shared" si="11"/>
        <v>8.0892023768512988</v>
      </c>
      <c r="K15" s="96">
        <v>44562</v>
      </c>
      <c r="L15" s="84">
        <v>34.130148272817202</v>
      </c>
      <c r="M15" s="99">
        <v>1415.2282216286098</v>
      </c>
      <c r="N15">
        <v>5.2570823143872998E-3</v>
      </c>
      <c r="O15" s="81">
        <f t="shared" si="1"/>
        <v>7.4399712547455543</v>
      </c>
      <c r="P15" s="84">
        <f t="shared" si="5"/>
        <v>4.5874032444745581</v>
      </c>
      <c r="Q15" s="99">
        <f t="shared" si="6"/>
        <v>1785.593101138933</v>
      </c>
      <c r="R15" s="85">
        <f t="shared" si="7"/>
        <v>51.31717972233541</v>
      </c>
      <c r="S15" s="78"/>
      <c r="T15" s="96">
        <v>44562</v>
      </c>
      <c r="U15" s="83">
        <v>12.489164536108101</v>
      </c>
      <c r="V15" s="99">
        <v>2919.8737090918867</v>
      </c>
      <c r="W15">
        <v>7.3165438062495201E-4</v>
      </c>
      <c r="X15" s="81">
        <f t="shared" si="2"/>
        <v>2.1363383901287056</v>
      </c>
      <c r="Y15" s="84">
        <f t="shared" si="8"/>
        <v>5.8460609956813441</v>
      </c>
      <c r="Z15" s="99">
        <f t="shared" si="9"/>
        <v>512.72121363088934</v>
      </c>
      <c r="AA15" s="85">
        <f t="shared" si="10"/>
        <v>40.053283600238693</v>
      </c>
    </row>
    <row r="16" spans="1:27" x14ac:dyDescent="0.35">
      <c r="A16" s="96">
        <v>44593</v>
      </c>
      <c r="B16" s="98">
        <v>63.15</v>
      </c>
      <c r="C16" s="95">
        <v>1603</v>
      </c>
      <c r="D16" s="94">
        <v>3.1388192854983998E-3</v>
      </c>
      <c r="E16" s="81">
        <f t="shared" si="3"/>
        <v>5.0315273146539345</v>
      </c>
      <c r="F16" s="82">
        <f t="shared" si="13"/>
        <v>12.550861011144768</v>
      </c>
      <c r="G16" s="83">
        <f t="shared" si="12"/>
        <v>1207.5665555169444</v>
      </c>
      <c r="H16" s="85">
        <f t="shared" si="11"/>
        <v>18.122194069943696</v>
      </c>
      <c r="K16" s="96">
        <v>44593</v>
      </c>
      <c r="L16" s="84">
        <v>8.7059035378093199</v>
      </c>
      <c r="M16" s="99">
        <v>1439.5036252968405</v>
      </c>
      <c r="N16">
        <v>3.4219850488181498E-3</v>
      </c>
      <c r="O16" s="81">
        <f t="shared" si="1"/>
        <v>4.9259598834853122</v>
      </c>
      <c r="P16" s="84">
        <f t="shared" si="5"/>
        <v>1.7673516926105268</v>
      </c>
      <c r="Q16" s="99">
        <f t="shared" si="6"/>
        <v>1182.2303720364748</v>
      </c>
      <c r="R16" s="85">
        <f t="shared" si="7"/>
        <v>134.79640147655039</v>
      </c>
      <c r="S16" s="78"/>
      <c r="T16" s="96">
        <v>44593</v>
      </c>
      <c r="U16" s="83">
        <v>4.00455667426173</v>
      </c>
      <c r="V16" s="99">
        <v>3042.1095262720255</v>
      </c>
      <c r="W16">
        <v>1.75390908906475E-3</v>
      </c>
      <c r="X16" s="81">
        <f t="shared" si="2"/>
        <v>5.3355835480589668</v>
      </c>
      <c r="Y16" s="84">
        <f t="shared" si="8"/>
        <v>0.75053771310891548</v>
      </c>
      <c r="Z16" s="99">
        <f t="shared" si="9"/>
        <v>1280.5400515341521</v>
      </c>
      <c r="AA16" s="85">
        <f t="shared" si="10"/>
        <v>318.77074010826163</v>
      </c>
    </row>
    <row r="17" spans="1:27" x14ac:dyDescent="0.35">
      <c r="A17" s="96">
        <v>44621</v>
      </c>
      <c r="B17" s="98">
        <v>30</v>
      </c>
      <c r="C17" s="95">
        <v>1687</v>
      </c>
      <c r="D17" s="94">
        <v>4.0298955638904503E-3</v>
      </c>
      <c r="E17" s="81">
        <f t="shared" si="3"/>
        <v>6.7984338162831897</v>
      </c>
      <c r="F17" s="82">
        <f t="shared" si="13"/>
        <v>4.4127810626244308</v>
      </c>
      <c r="G17" s="83">
        <f t="shared" si="12"/>
        <v>1631.6241159079655</v>
      </c>
      <c r="H17" s="85">
        <f t="shared" si="11"/>
        <v>53.387470530265517</v>
      </c>
      <c r="K17" s="96">
        <v>44621</v>
      </c>
      <c r="L17" s="84">
        <v>7.4548236554911202</v>
      </c>
      <c r="M17" s="99">
        <v>1442.9316435589981</v>
      </c>
      <c r="N17">
        <v>4.1810664466512097E-3</v>
      </c>
      <c r="O17" s="81">
        <f t="shared" si="1"/>
        <v>6.0329930796958102</v>
      </c>
      <c r="P17" s="84">
        <f t="shared" si="5"/>
        <v>1.2356758174612394</v>
      </c>
      <c r="Q17" s="99">
        <f t="shared" si="6"/>
        <v>1447.9183391269944</v>
      </c>
      <c r="R17" s="85">
        <f t="shared" si="7"/>
        <v>193.22569949866994</v>
      </c>
      <c r="S17" s="78"/>
      <c r="T17" s="96">
        <v>44621</v>
      </c>
      <c r="U17" s="83">
        <v>28.0535540869984</v>
      </c>
      <c r="V17" s="99">
        <v>3331.3497739658264</v>
      </c>
      <c r="W17">
        <v>1.5871964868499401E-3</v>
      </c>
      <c r="X17" s="81">
        <f t="shared" si="2"/>
        <v>5.2875066577069019</v>
      </c>
      <c r="Y17" s="84">
        <f t="shared" si="8"/>
        <v>5.305630026225769</v>
      </c>
      <c r="Z17" s="99">
        <f t="shared" si="9"/>
        <v>1269.0015978496565</v>
      </c>
      <c r="AA17" s="85">
        <f t="shared" si="10"/>
        <v>44.23496716010694</v>
      </c>
    </row>
    <row r="18" spans="1:27" x14ac:dyDescent="0.35">
      <c r="A18" s="96">
        <v>44652</v>
      </c>
      <c r="B18" s="97">
        <v>0</v>
      </c>
      <c r="C18" s="95">
        <v>1687</v>
      </c>
      <c r="D18" s="94">
        <v>3.31029221166672E-3</v>
      </c>
      <c r="E18" s="81">
        <f t="shared" si="3"/>
        <v>5.5844629610817567</v>
      </c>
      <c r="F18" s="82">
        <f t="shared" si="13"/>
        <v>0</v>
      </c>
      <c r="G18" s="83">
        <f t="shared" si="12"/>
        <v>1340.2711106596216</v>
      </c>
      <c r="H18" s="85">
        <f t="shared" si="11"/>
        <v>0</v>
      </c>
      <c r="K18" s="96">
        <v>44652</v>
      </c>
      <c r="L18" s="84">
        <v>7.5195849039907801</v>
      </c>
      <c r="M18" s="99">
        <v>1511.1133825209954</v>
      </c>
      <c r="N18">
        <v>6.3732876246535399E-3</v>
      </c>
      <c r="O18" s="81">
        <f t="shared" si="1"/>
        <v>9.6307602202694103</v>
      </c>
      <c r="P18" s="84">
        <f t="shared" si="5"/>
        <v>0.78078830040484881</v>
      </c>
      <c r="Q18" s="99">
        <f t="shared" si="6"/>
        <v>2311.3824528646583</v>
      </c>
      <c r="R18" s="85">
        <f t="shared" si="7"/>
        <v>306.38165502167095</v>
      </c>
      <c r="S18" s="78"/>
      <c r="T18" s="96">
        <v>44652</v>
      </c>
      <c r="U18" s="83">
        <v>18.0462522433236</v>
      </c>
      <c r="V18" s="99">
        <v>3481.9115613524755</v>
      </c>
      <c r="W18">
        <v>1.5780285080013699E-3</v>
      </c>
      <c r="X18" s="81">
        <f t="shared" si="2"/>
        <v>5.4945557061537675</v>
      </c>
      <c r="Y18" s="84">
        <f t="shared" si="8"/>
        <v>3.2843878938404867</v>
      </c>
      <c r="Z18" s="99">
        <f t="shared" si="9"/>
        <v>1318.6933694769043</v>
      </c>
      <c r="AA18" s="85">
        <f t="shared" si="10"/>
        <v>72.072976687709144</v>
      </c>
    </row>
    <row r="19" spans="1:27" x14ac:dyDescent="0.35">
      <c r="A19" s="96">
        <v>44682</v>
      </c>
      <c r="B19" s="97">
        <v>30.71</v>
      </c>
      <c r="C19" s="95">
        <v>1826</v>
      </c>
      <c r="D19" s="94">
        <v>4.0817807374690599E-3</v>
      </c>
      <c r="E19" s="81">
        <f t="shared" si="3"/>
        <v>7.4533316266185032</v>
      </c>
      <c r="F19" s="82">
        <f t="shared" si="13"/>
        <v>4.1203050579855658</v>
      </c>
      <c r="G19" s="83">
        <f t="shared" ref="G19:G26" si="14">E19*240</f>
        <v>1788.7995903884407</v>
      </c>
      <c r="H19" s="85">
        <f t="shared" si="11"/>
        <v>57.248114307666576</v>
      </c>
      <c r="K19" s="96">
        <v>44682</v>
      </c>
      <c r="L19" s="84">
        <v>12.473931961341</v>
      </c>
      <c r="M19" s="99">
        <v>1625.0330184524973</v>
      </c>
      <c r="N19">
        <v>5.3128458739035798E-3</v>
      </c>
      <c r="O19" s="81">
        <f t="shared" si="1"/>
        <v>8.6335499670424305</v>
      </c>
      <c r="P19" s="84">
        <f t="shared" si="5"/>
        <v>1.4448207294749877</v>
      </c>
      <c r="Q19" s="99">
        <f t="shared" si="6"/>
        <v>2072.0519920901834</v>
      </c>
      <c r="R19" s="85">
        <f t="shared" si="7"/>
        <v>165.11057351538008</v>
      </c>
      <c r="S19" s="78"/>
      <c r="T19" s="96">
        <v>44682</v>
      </c>
      <c r="U19" s="83">
        <v>5.0035676286359303</v>
      </c>
      <c r="V19" s="99">
        <v>3541.1233152923851</v>
      </c>
      <c r="W19">
        <v>1.1520269244105E-3</v>
      </c>
      <c r="X19" s="81">
        <f t="shared" si="2"/>
        <v>4.0794694018745998</v>
      </c>
      <c r="Y19" s="84">
        <f t="shared" si="8"/>
        <v>1.226524122557872</v>
      </c>
      <c r="Z19" s="99">
        <f t="shared" si="9"/>
        <v>979.072656449904</v>
      </c>
      <c r="AA19" s="85">
        <f t="shared" si="10"/>
        <v>194.67491220595699</v>
      </c>
    </row>
    <row r="20" spans="1:27" x14ac:dyDescent="0.35">
      <c r="A20" s="96">
        <v>44713</v>
      </c>
      <c r="B20" s="98">
        <v>46.27</v>
      </c>
      <c r="C20" s="95">
        <v>1968</v>
      </c>
      <c r="D20" s="94">
        <v>3.1495613000481898E-3</v>
      </c>
      <c r="E20" s="81">
        <f t="shared" si="3"/>
        <v>6.1983366384948377</v>
      </c>
      <c r="F20" s="82">
        <f t="shared" si="13"/>
        <v>7.4649059414810841</v>
      </c>
      <c r="G20" s="83">
        <f t="shared" si="14"/>
        <v>1487.6007932387611</v>
      </c>
      <c r="H20" s="85">
        <f t="shared" si="11"/>
        <v>31.150438583072422</v>
      </c>
      <c r="K20" s="96">
        <v>44713</v>
      </c>
      <c r="L20" s="84">
        <v>21.515013696921699</v>
      </c>
      <c r="M20" s="99">
        <v>1779.1720928929153</v>
      </c>
      <c r="N20">
        <v>2.7983628615990399E-3</v>
      </c>
      <c r="O20" s="81">
        <f t="shared" si="1"/>
        <v>4.9787691091449711</v>
      </c>
      <c r="P20" s="84">
        <f t="shared" si="5"/>
        <v>4.3213519697876848</v>
      </c>
      <c r="Q20" s="99">
        <f t="shared" si="6"/>
        <v>1194.904586194793</v>
      </c>
      <c r="R20" s="85">
        <f t="shared" si="7"/>
        <v>54.538174552301413</v>
      </c>
      <c r="S20" s="78"/>
      <c r="T20" s="96">
        <v>44713</v>
      </c>
      <c r="U20" s="83">
        <v>20.302253314562002</v>
      </c>
      <c r="V20" s="99">
        <v>3545.3889569779167</v>
      </c>
      <c r="W20">
        <v>1.7025374212490299E-4</v>
      </c>
      <c r="X20" s="81">
        <f t="shared" si="2"/>
        <v>0.60361573721379702</v>
      </c>
      <c r="Y20" s="84">
        <f t="shared" si="8"/>
        <v>33.634400269738272</v>
      </c>
      <c r="Z20" s="99">
        <f t="shared" si="9"/>
        <v>144.86777693131128</v>
      </c>
      <c r="AA20" s="85">
        <f t="shared" si="10"/>
        <v>6.1355516398469607</v>
      </c>
    </row>
    <row r="21" spans="1:27" x14ac:dyDescent="0.35">
      <c r="A21" s="96">
        <v>44743</v>
      </c>
      <c r="B21" s="98">
        <v>29.99</v>
      </c>
      <c r="C21" s="95">
        <v>2003</v>
      </c>
      <c r="D21" s="94">
        <v>4.2671108879063797E-3</v>
      </c>
      <c r="E21" s="81">
        <f t="shared" si="3"/>
        <v>8.5470231084764787</v>
      </c>
      <c r="F21" s="82">
        <f t="shared" si="13"/>
        <v>3.5088240220454683</v>
      </c>
      <c r="G21" s="83">
        <f t="shared" si="14"/>
        <v>2051.2855460343549</v>
      </c>
      <c r="H21" s="85">
        <f t="shared" si="11"/>
        <v>67.398984529321609</v>
      </c>
      <c r="K21" s="96">
        <v>44743</v>
      </c>
      <c r="L21" s="84">
        <v>17.709745764326701</v>
      </c>
      <c r="M21" s="99">
        <v>1825.7599455534171</v>
      </c>
      <c r="N21">
        <v>2.3783495141695E-3</v>
      </c>
      <c r="O21" s="81">
        <f t="shared" si="1"/>
        <v>4.3422952794971019</v>
      </c>
      <c r="P21" s="84">
        <f t="shared" si="5"/>
        <v>4.0784296378798395</v>
      </c>
      <c r="Q21" s="99">
        <f t="shared" si="6"/>
        <v>1042.1508670793044</v>
      </c>
      <c r="R21" s="85">
        <f t="shared" si="7"/>
        <v>57.846178875054299</v>
      </c>
      <c r="S21" s="78"/>
      <c r="T21" s="96">
        <v>44743</v>
      </c>
      <c r="U21" s="83">
        <v>1.40992936572395</v>
      </c>
      <c r="V21" s="99">
        <v>3545.3889569779167</v>
      </c>
      <c r="W21">
        <v>1.9354270434976999E-4</v>
      </c>
      <c r="X21" s="81">
        <f t="shared" si="2"/>
        <v>0.68618416670531635</v>
      </c>
      <c r="Y21" s="84">
        <f t="shared" si="8"/>
        <v>2.0547389959370017</v>
      </c>
      <c r="Z21" s="99">
        <f t="shared" si="9"/>
        <v>164.68420000927591</v>
      </c>
      <c r="AA21" s="85">
        <f t="shared" si="10"/>
        <v>115.80315625223983</v>
      </c>
    </row>
    <row r="22" spans="1:27" x14ac:dyDescent="0.35">
      <c r="A22" s="96">
        <v>44774</v>
      </c>
      <c r="B22" s="98">
        <v>30</v>
      </c>
      <c r="C22" s="95">
        <v>2129</v>
      </c>
      <c r="D22" s="94">
        <v>6.7619222519228099E-3</v>
      </c>
      <c r="E22" s="81">
        <f t="shared" si="3"/>
        <v>14.396132474343663</v>
      </c>
      <c r="F22" s="82">
        <f t="shared" si="13"/>
        <v>2.0838930215087323</v>
      </c>
      <c r="G22" s="83">
        <f t="shared" si="14"/>
        <v>3455.0717938424791</v>
      </c>
      <c r="H22" s="85">
        <f t="shared" si="11"/>
        <v>114.1690597947493</v>
      </c>
      <c r="K22" s="96">
        <v>44774</v>
      </c>
      <c r="L22" s="84">
        <v>11.940394748119701</v>
      </c>
      <c r="M22" s="99">
        <v>1870.0013005014548</v>
      </c>
      <c r="N22">
        <v>1.4994851471182801E-3</v>
      </c>
      <c r="O22" s="81">
        <f t="shared" si="1"/>
        <v>2.804039175193799</v>
      </c>
      <c r="P22" s="84">
        <f t="shared" si="5"/>
        <v>4.2582838548589281</v>
      </c>
      <c r="Q22" s="99">
        <f t="shared" si="6"/>
        <v>672.96940204651173</v>
      </c>
      <c r="R22" s="85">
        <f t="shared" si="7"/>
        <v>55.360733145148885</v>
      </c>
      <c r="S22" s="78"/>
      <c r="T22" s="96">
        <v>44774</v>
      </c>
      <c r="U22" s="83">
        <v>37.282136485229998</v>
      </c>
      <c r="V22" s="99">
        <v>3953.9215789813916</v>
      </c>
      <c r="W22">
        <v>1.5892487218017499E-4</v>
      </c>
      <c r="X22" s="81">
        <f t="shared" si="2"/>
        <v>0.62837648155005332</v>
      </c>
      <c r="Y22" s="84">
        <f>U22/X22</f>
        <v>59.330890922690095</v>
      </c>
      <c r="Z22" s="99">
        <f t="shared" si="9"/>
        <v>150.81035557201281</v>
      </c>
      <c r="AA22" s="85">
        <f t="shared" si="10"/>
        <v>3.0451103340539269</v>
      </c>
    </row>
    <row r="23" spans="1:27" x14ac:dyDescent="0.35">
      <c r="A23" s="96">
        <v>44805</v>
      </c>
      <c r="B23" s="98">
        <v>37.61</v>
      </c>
      <c r="C23" s="95">
        <v>2236</v>
      </c>
      <c r="D23" s="94">
        <v>3.8379532717692701E-3</v>
      </c>
      <c r="E23" s="81">
        <f t="shared" si="3"/>
        <v>8.5816635156760874</v>
      </c>
      <c r="F23" s="82">
        <f t="shared" si="13"/>
        <v>4.3826001720176953</v>
      </c>
      <c r="G23" s="83">
        <f t="shared" si="14"/>
        <v>2059.5992437622608</v>
      </c>
      <c r="H23" s="85">
        <f t="shared" si="11"/>
        <v>53.762011267276279</v>
      </c>
      <c r="K23" s="96">
        <v>44805</v>
      </c>
      <c r="L23" s="84">
        <v>25.085968683617502</v>
      </c>
      <c r="M23" s="99">
        <v>2011.9943154897207</v>
      </c>
      <c r="N23">
        <v>1.0393941530015701E-3</v>
      </c>
      <c r="O23" s="81">
        <f t="shared" si="1"/>
        <v>2.091255127392412</v>
      </c>
      <c r="P23" s="84">
        <f t="shared" si="5"/>
        <v>11.995651967580455</v>
      </c>
      <c r="Q23" s="99">
        <f t="shared" si="6"/>
        <v>501.9012305741789</v>
      </c>
      <c r="R23" s="85">
        <f t="shared" si="7"/>
        <v>19.007249347399036</v>
      </c>
      <c r="S23" s="78"/>
      <c r="T23" s="96">
        <v>44805</v>
      </c>
      <c r="U23" s="83">
        <v>10.6099792456006</v>
      </c>
      <c r="V23" s="99">
        <v>4207.8107759115492</v>
      </c>
      <c r="W23">
        <v>3.5246099633264499E-4</v>
      </c>
      <c r="X23" s="81">
        <f t="shared" si="2"/>
        <v>1.4830891784570246</v>
      </c>
      <c r="Y23" s="84">
        <f t="shared" si="8"/>
        <v>7.1539725322782033</v>
      </c>
      <c r="Z23" s="99">
        <f t="shared" si="9"/>
        <v>355.9414028296859</v>
      </c>
      <c r="AA23" s="85">
        <f t="shared" si="10"/>
        <v>32.547794448068885</v>
      </c>
    </row>
    <row r="24" spans="1:27" x14ac:dyDescent="0.35">
      <c r="A24" s="96">
        <v>44835</v>
      </c>
      <c r="B24" s="97">
        <v>82.39</v>
      </c>
      <c r="C24" s="95">
        <v>2627</v>
      </c>
      <c r="D24" s="94">
        <v>3.1869812423562498E-3</v>
      </c>
      <c r="E24" s="81">
        <f t="shared" si="3"/>
        <v>8.3721997236698691</v>
      </c>
      <c r="F24" s="82">
        <f t="shared" si="13"/>
        <v>9.840902357724115</v>
      </c>
      <c r="G24" s="83">
        <f t="shared" si="14"/>
        <v>2009.3279336807686</v>
      </c>
      <c r="H24" s="85">
        <f t="shared" si="11"/>
        <v>23.388007448486086</v>
      </c>
      <c r="K24" s="96">
        <v>44835</v>
      </c>
      <c r="L24" s="84">
        <v>5.71924828673371</v>
      </c>
      <c r="M24" s="99">
        <v>2089.3678132795071</v>
      </c>
      <c r="N24">
        <v>2.0192682713163199E-3</v>
      </c>
      <c r="O24" s="81">
        <f t="shared" si="1"/>
        <v>4.2189941324648697</v>
      </c>
      <c r="P24" s="84">
        <f t="shared" si="5"/>
        <v>1.3555952217910159</v>
      </c>
      <c r="Q24" s="99">
        <f t="shared" si="6"/>
        <v>1012.5585917915687</v>
      </c>
      <c r="R24" s="85">
        <f t="shared" si="7"/>
        <v>176.04399967042622</v>
      </c>
      <c r="S24" s="78"/>
      <c r="T24" s="96">
        <v>44835</v>
      </c>
      <c r="U24" s="83">
        <v>27.1634136585132</v>
      </c>
      <c r="V24" s="99">
        <v>4427.6178906693158</v>
      </c>
      <c r="W24">
        <v>2.9272882689792201E-4</v>
      </c>
      <c r="X24" s="81">
        <f t="shared" si="2"/>
        <v>1.2960913910878806</v>
      </c>
      <c r="Y24" s="84">
        <f>U24/X24</f>
        <v>20.957946210655297</v>
      </c>
      <c r="Z24" s="99">
        <f t="shared" si="9"/>
        <v>311.06193386109135</v>
      </c>
      <c r="AA24" s="85">
        <f t="shared" si="10"/>
        <v>10.451503767958943</v>
      </c>
    </row>
    <row r="25" spans="1:27" x14ac:dyDescent="0.35">
      <c r="A25" s="96">
        <v>44866</v>
      </c>
      <c r="B25" s="98">
        <v>16</v>
      </c>
      <c r="C25" s="95">
        <v>2701</v>
      </c>
      <c r="D25" s="94">
        <v>4.4568336311157E-3</v>
      </c>
      <c r="E25" s="81">
        <f t="shared" si="3"/>
        <v>12.037907637643505</v>
      </c>
      <c r="F25" s="82">
        <f t="shared" si="13"/>
        <v>1.3291346371496251</v>
      </c>
      <c r="G25" s="83">
        <f t="shared" si="14"/>
        <v>2889.097833034441</v>
      </c>
      <c r="H25" s="85">
        <f t="shared" si="11"/>
        <v>179.56861456465256</v>
      </c>
      <c r="K25" s="96">
        <v>44866</v>
      </c>
      <c r="L25" s="84">
        <v>11.977930589943901</v>
      </c>
      <c r="M25" s="99">
        <v>2125.2987543369622</v>
      </c>
      <c r="N25">
        <v>4.7430936676063299E-3</v>
      </c>
      <c r="O25" s="81">
        <f t="shared" si="1"/>
        <v>10.080491063467267</v>
      </c>
      <c r="P25" s="84">
        <f t="shared" si="5"/>
        <v>1.1882288783879933</v>
      </c>
      <c r="Q25" s="99">
        <f t="shared" si="6"/>
        <v>2419.3178552321442</v>
      </c>
      <c r="R25" s="85">
        <f t="shared" si="7"/>
        <v>200.9812885928132</v>
      </c>
      <c r="S25" s="78"/>
      <c r="T25" s="96">
        <v>44866</v>
      </c>
      <c r="U25" s="83">
        <v>12.7801541196658</v>
      </c>
      <c r="V25" s="99">
        <v>4474.5700715766552</v>
      </c>
      <c r="W25">
        <v>8.5693689479657905E-4</v>
      </c>
      <c r="X25" s="81">
        <f t="shared" si="2"/>
        <v>3.8344241826866052</v>
      </c>
      <c r="Y25" s="84">
        <f>U25/X25</f>
        <v>3.3330047774503999</v>
      </c>
      <c r="Z25" s="99">
        <f t="shared" si="9"/>
        <v>920.26180384478528</v>
      </c>
      <c r="AA25" s="85">
        <f t="shared" si="10"/>
        <v>71.007097506649629</v>
      </c>
    </row>
    <row r="26" spans="1:27" x14ac:dyDescent="0.35">
      <c r="A26" s="96">
        <v>44896</v>
      </c>
      <c r="B26" s="98">
        <v>29.99</v>
      </c>
      <c r="C26" s="95">
        <v>2762</v>
      </c>
      <c r="D26" s="94">
        <v>5.2082307750585498E-3</v>
      </c>
      <c r="E26" s="81">
        <f t="shared" si="3"/>
        <v>14.385133400711714</v>
      </c>
      <c r="F26" s="82">
        <f t="shared" si="13"/>
        <v>2.0847912330459324</v>
      </c>
      <c r="G26" s="83">
        <f t="shared" si="14"/>
        <v>3452.4320161708115</v>
      </c>
      <c r="H26" s="85">
        <f>IFERROR((G26-B26)/B26,0)</f>
        <v>114.11944035247789</v>
      </c>
      <c r="K26" s="96">
        <v>44896</v>
      </c>
      <c r="L26" s="84">
        <v>15.0208355750413</v>
      </c>
      <c r="M26" s="99">
        <v>2191.1199833789783</v>
      </c>
      <c r="N26">
        <v>1.9544131940933901E-3</v>
      </c>
      <c r="O26" s="81">
        <f t="shared" si="1"/>
        <v>4.2823538053575652</v>
      </c>
      <c r="P26" s="84">
        <f t="shared" si="5"/>
        <v>3.50761199512498</v>
      </c>
      <c r="Q26" s="99">
        <f t="shared" si="6"/>
        <v>1027.7649132858157</v>
      </c>
      <c r="R26" s="85">
        <f t="shared" si="7"/>
        <v>67.422619244534928</v>
      </c>
      <c r="S26" s="78"/>
      <c r="T26" s="96">
        <v>44896</v>
      </c>
      <c r="U26" s="83">
        <v>21.3227888682902</v>
      </c>
      <c r="V26" s="99">
        <v>4637.622255901103</v>
      </c>
      <c r="W26">
        <v>3.77697356875336E-4</v>
      </c>
      <c r="X26" s="81">
        <f t="shared" si="2"/>
        <v>1.7516176682400797</v>
      </c>
      <c r="Y26" s="84">
        <f t="shared" si="8"/>
        <v>12.173198098483477</v>
      </c>
      <c r="Z26" s="99">
        <f t="shared" si="9"/>
        <v>420.38824037761913</v>
      </c>
      <c r="AA26" s="85">
        <f t="shared" si="10"/>
        <v>18.715443555453099</v>
      </c>
    </row>
    <row r="27" spans="1:27" x14ac:dyDescent="0.35">
      <c r="A27" s="79"/>
      <c r="B27" s="80"/>
      <c r="C27" s="78"/>
      <c r="D27" s="81"/>
      <c r="E27" s="82"/>
      <c r="F27" s="83"/>
      <c r="G27" s="85"/>
    </row>
    <row r="28" spans="1:27" x14ac:dyDescent="0.35">
      <c r="A28" s="79"/>
      <c r="B28" s="80"/>
      <c r="C28" s="78"/>
      <c r="D28" s="81"/>
      <c r="E28" s="82"/>
      <c r="F28" s="83"/>
      <c r="G28" s="85"/>
    </row>
    <row r="29" spans="1:27" x14ac:dyDescent="0.35">
      <c r="A29" s="79"/>
      <c r="B29" s="80"/>
      <c r="C29" s="78"/>
      <c r="D29" s="81"/>
      <c r="E29" s="82"/>
      <c r="F29" s="83"/>
      <c r="G29" s="85"/>
    </row>
    <row r="30" spans="1:27" x14ac:dyDescent="0.35">
      <c r="A30" s="79"/>
      <c r="B30" s="80"/>
      <c r="C30" s="78"/>
      <c r="D30" s="81"/>
      <c r="E30" s="82"/>
      <c r="F30" s="83"/>
      <c r="G30" s="85"/>
    </row>
    <row r="31" spans="1:27" x14ac:dyDescent="0.35">
      <c r="A31" s="79"/>
      <c r="B31" s="80"/>
      <c r="C31" s="78"/>
      <c r="D31" s="81"/>
      <c r="E31" s="82"/>
      <c r="F31" s="83"/>
      <c r="G31" s="85"/>
    </row>
    <row r="32" spans="1:27" x14ac:dyDescent="0.35">
      <c r="A32" s="79"/>
      <c r="B32" s="80"/>
      <c r="C32" s="78"/>
      <c r="D32" s="81"/>
      <c r="E32" s="82"/>
      <c r="F32" s="83"/>
      <c r="G32" s="85"/>
    </row>
    <row r="33" spans="1:11" x14ac:dyDescent="0.35">
      <c r="A33" s="79"/>
      <c r="B33" s="80"/>
      <c r="C33" s="78"/>
      <c r="D33" s="81"/>
      <c r="E33" s="82"/>
      <c r="F33" s="83"/>
      <c r="G33" s="85"/>
    </row>
    <row r="34" spans="1:11" x14ac:dyDescent="0.35">
      <c r="A34" s="79"/>
      <c r="B34" s="80"/>
      <c r="C34" s="78"/>
      <c r="D34" s="81"/>
      <c r="E34" s="82"/>
      <c r="F34" s="83"/>
      <c r="G34" s="85"/>
    </row>
    <row r="37" spans="1:11" x14ac:dyDescent="0.35">
      <c r="D37" s="1"/>
      <c r="H37" s="87"/>
    </row>
    <row r="38" spans="1:11" x14ac:dyDescent="0.35">
      <c r="D38" s="92"/>
    </row>
    <row r="39" spans="1:11" x14ac:dyDescent="0.35">
      <c r="D39" s="92"/>
      <c r="H39" s="87"/>
    </row>
    <row r="40" spans="1:11" x14ac:dyDescent="0.35">
      <c r="D40" s="92"/>
    </row>
    <row r="43" spans="1:11" x14ac:dyDescent="0.35">
      <c r="A43" s="1"/>
      <c r="B43" s="83"/>
      <c r="C43" s="83"/>
      <c r="D43" s="81"/>
      <c r="E43" s="88"/>
      <c r="F43" s="89"/>
      <c r="G43" s="90"/>
      <c r="H43" s="87"/>
    </row>
    <row r="44" spans="1:11" x14ac:dyDescent="0.35">
      <c r="A44" s="1"/>
      <c r="B44" s="83"/>
      <c r="C44" s="83"/>
      <c r="D44" s="88"/>
      <c r="E44" s="88"/>
      <c r="F44" s="88"/>
      <c r="G44" s="88"/>
      <c r="H44" s="88"/>
      <c r="I44" s="88"/>
      <c r="J44" s="88"/>
      <c r="K44" s="88"/>
    </row>
    <row r="45" spans="1:11" x14ac:dyDescent="0.35">
      <c r="A45" s="1"/>
      <c r="B45" s="83"/>
      <c r="C45" s="83"/>
      <c r="D45" s="83"/>
      <c r="E45" s="83"/>
      <c r="F45" s="83"/>
      <c r="G45" s="83"/>
      <c r="H45" s="83"/>
      <c r="I45" s="83"/>
      <c r="J45" s="83"/>
      <c r="K45" s="83"/>
    </row>
    <row r="46" spans="1:11" x14ac:dyDescent="0.35">
      <c r="A46" s="1"/>
      <c r="B46" s="91"/>
      <c r="C46" s="83"/>
    </row>
    <row r="47" spans="1:11" x14ac:dyDescent="0.35">
      <c r="A47" s="1"/>
      <c r="B47" s="83"/>
      <c r="C47" s="83"/>
      <c r="H47" s="87"/>
    </row>
    <row r="48" spans="1:11" x14ac:dyDescent="0.35">
      <c r="A48" s="1"/>
      <c r="B48" s="91"/>
      <c r="C48" s="83"/>
    </row>
    <row r="49" spans="1:8" x14ac:dyDescent="0.35">
      <c r="B49" s="1"/>
      <c r="H49" s="87"/>
    </row>
    <row r="50" spans="1:8" x14ac:dyDescent="0.35">
      <c r="B50" s="1"/>
    </row>
    <row r="51" spans="1:8" x14ac:dyDescent="0.35">
      <c r="H51" s="87"/>
    </row>
    <row r="53" spans="1:8" x14ac:dyDescent="0.35">
      <c r="B53" s="100"/>
      <c r="H53" s="87"/>
    </row>
    <row r="55" spans="1:8" x14ac:dyDescent="0.35">
      <c r="A55" s="1"/>
      <c r="B55" s="93"/>
      <c r="H55" s="87"/>
    </row>
    <row r="57" spans="1:8" x14ac:dyDescent="0.35">
      <c r="A57" s="1"/>
      <c r="H57" s="87"/>
    </row>
    <row r="59" spans="1:8" x14ac:dyDescent="0.35">
      <c r="H59" s="87"/>
    </row>
  </sheetData>
  <mergeCells count="3">
    <mergeCell ref="A1:H1"/>
    <mergeCell ref="K1:R1"/>
    <mergeCell ref="T1:AA1"/>
  </mergeCells>
  <phoneticPr fontId="20" type="noConversion"/>
  <dataValidations disablePrompts="1" count="2">
    <dataValidation type="list" allowBlank="1" showInputMessage="1" showErrorMessage="1" sqref="D37" xr:uid="{6E1AFA8B-187B-46BA-851B-786C2F9B5317}">
      <formula1>$A$43:$A$48</formula1>
    </dataValidation>
    <dataValidation type="list" allowBlank="1" showInputMessage="1" showErrorMessage="1" sqref="B55" xr:uid="{8FE138F7-5CC4-42BB-94C4-6113BCCE9B69}">
      <formula1>"10,20,30,40,50"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A51EA05C934D418CBA7CE23118CC89" ma:contentTypeVersion="2" ma:contentTypeDescription="Create a new document." ma:contentTypeScope="" ma:versionID="44265a5edec66aa0f059bfaf2ab6399f">
  <xsd:schema xmlns:xsd="http://www.w3.org/2001/XMLSchema" xmlns:xs="http://www.w3.org/2001/XMLSchema" xmlns:p="http://schemas.microsoft.com/office/2006/metadata/properties" xmlns:ns2="142be2da-0640-4ced-b95e-9c345be582af" targetNamespace="http://schemas.microsoft.com/office/2006/metadata/properties" ma:root="true" ma:fieldsID="78953635cdc55597577d8a0d2d9f8521" ns2:_="">
    <xsd:import namespace="142be2da-0640-4ced-b95e-9c345be582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2be2da-0640-4ced-b95e-9c345be582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1C05E7-5DF8-4CE0-A2D7-E4E872A9DBE6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142be2da-0640-4ced-b95e-9c345be582af"/>
    <ds:schemaRef ds:uri="http://www.w3.org/XML/1998/namespace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FEB30E0-9BE8-4C8B-B37F-8D296D1BD70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E09C6C-0C28-46F5-B123-6D8A62112F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2be2da-0640-4ced-b95e-9c345be582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0. Background, Market Analysis</vt:lpstr>
      <vt:lpstr>0. Results Summary</vt:lpstr>
      <vt:lpstr>1. Pricing Model </vt:lpstr>
      <vt:lpstr>2. Class Run Optimiser</vt:lpstr>
      <vt:lpstr>3. Other analysis on profit los</vt:lpstr>
      <vt:lpstr>3. Customer_relations</vt:lpstr>
      <vt:lpstr>4. Business Expansion Analysis</vt:lpstr>
      <vt:lpstr>Ref - Class Runs 2021 2022</vt:lpstr>
      <vt:lpstr>Ref - Studio Capacity</vt:lpstr>
      <vt:lpstr>Reference - Class Prices</vt:lpstr>
      <vt:lpstr>Reference data - Social Media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Charlene Ng</dc:creator>
  <cp:keywords/>
  <dc:description/>
  <cp:lastModifiedBy>Sruthi BASANI</cp:lastModifiedBy>
  <cp:revision/>
  <dcterms:created xsi:type="dcterms:W3CDTF">2023-02-20T03:42:56Z</dcterms:created>
  <dcterms:modified xsi:type="dcterms:W3CDTF">2024-05-23T05:03:23Z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0x010100B2A51EA05C934D418CBA7CE23118CC89</vt:lpwstr>
  </property>
</Properties>
</file>